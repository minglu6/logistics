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 (3)" sheetId="1" r:id="rId1"/>
    <sheet name="Sheet1 (2)" sheetId="2" r:id="rId2"/>
  </sheets>
  <definedNames>
    <definedName name="_xlnm._FilterDatabase" localSheetId="0" hidden="1">'Sheet1 (3)'!$A$1:$R$120</definedName>
    <definedName name="_xlnm._FilterDatabase" localSheetId="1" hidden="1">'Sheet1 (2)'!$A$1:$R$34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<sst xmlns="http://schemas.openxmlformats.org/spreadsheetml/2006/main" count="160" uniqueCount="128">
  <si>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</si>
  <si>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</si>
  <si>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</si>
  <si>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</si>
  <si>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</si>
  <si>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</si>
  <si>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</si>
  <si>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</si>
  <si>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</si>
  <si>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</si>
  <si>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</si>
  <si>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</si>
  <si>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共橙一站式超市（南昌京东大道店）-46km
惠宜选-九江市柴桑店-124km
共橙一站式超市（九江花溪路店）-17.0km
共橙一站式超市（瑞昌赤乌大道店）-51km</t>
  </si>
  <si>
    <t>共橙一站式超市（南昌经开区庐山南大道店）-26km
共橙一站式超市（永修建昌大道店）-39km
共橙一站式超市（庐山玉帘路店）-77km
共橙一站式超市（庐山星光大道店）-1.5km
厉臣-九江市都昌东风大道店-49km</t>
  </si>
  <si>
    <t>共橙超市-南昌东湖店-46km
共橙一站式超市（南昌锦江路店）-69km
共橙一站式超市（共青城南湖大道店）-73km</t>
  </si>
  <si>
    <t>共橙-站式超市(奉新县迎宾大道店)-45.0km
共橙-站式超市(安义学府大道店)-29km
共橙-站式超市(靖安清华大道店)-25km
共橙-站式超市(武宁月山路店)-97km
惠宜选-九江市修水店-82km</t>
  </si>
  <si>
    <t>共橙-站式超市(南昌云飞路店)-36.0km
共橙-站式超市(进贤吴万街店)-61km
共橙-站式超市(进贤昌盛路店)-2.6km
共橙-站式超市(东乡求学路店)-41km
共橙-站式超市(鹰潭余江区白塔东路店)-25km
共橙一站式超市(鹰潭五洲路店)-24km
共橙-站式超市(鹰潭市林荫东路店)-3.4km</t>
  </si>
  <si>
    <t>共橙一站式超市（景德镇紫晶路店）-223km
共橙一站式超市（景德镇翠云路店）-10.0km
共橙一站式超市（浮梁县新昌北路店）-13km</t>
  </si>
  <si>
    <t>共橙一站式超市（新干县金川大道店）-120.0km
共橙一站式超市（抚州乐安大道店）-73.0km
共橙一站式超市（宜黄县凤凰路店）-58km
共橙一站式超市（南城登高路店）-74.0km
共橙一站式超市（南丰南广路店）-42.0km</t>
  </si>
  <si>
    <t>共橙一站式超市（永丰欧阳修大道店）-191km
共橙一站式超市（吉水万里大道店）-39km
共橙一站式超市（吉安县赣江大道店）-33.0km
共橙一站式超市（泰和澄江大道店）-29.0km
共橙一站式超市（永新湘赣大道店）-86km</t>
  </si>
  <si>
    <t>共橙一站式超市（井冈山步云山路店）-293km
共橙一站式超市（遂川川江南路店）-97km
共橙一站式超市（南康蓝田大道店）-91km
共橙一站式超市（上犹文锦路店）-40.0km
共橙一站式超市（崇义章源大道店）-33.0km
共橙一站式超市（大余建安路店）-48.0km
共橙一站式超市（信丰沿江路店）-77km</t>
  </si>
  <si>
    <t>共橙一站式超市（共青城南湖大道店）-89km
共橙一站式超市（湖口渊明路店）-94km
厉臣便利（彭泽县龙兴路店）-34km</t>
  </si>
  <si>
    <t>共橙一站式超市（安义学府大道店）-42.0km
共橙一站式超市（九江八里湖大道店）-123km</t>
  </si>
  <si>
    <t>共橙一站式超市（九江庐山西路店）-131km
惠宜选-九江市柴桑店-1.7km
共橙一站式超市（九江花溪路店）-17.0km
共橙一站式超市（九江浔阳东路店）-10.0km</t>
  </si>
  <si>
    <t>共橙一站式超市（南昌迎宾中大道店）-41km
共橙一站式超市（南昌解放西路店）-12km
共橙一站式超市（德安宝塔大道店）-102km
共橙一站式超市（庐山玉帘路店）-58km
厉臣-九江市都昌东风大道店-48.0km</t>
  </si>
  <si>
    <t>共橙一站式超市（南昌招贤大道店）-16.0km
共橙一站式超市（南昌长富大道店）-7.7km
共橙一站式超市（瑞昌赤乌大道店）-142km</t>
  </si>
  <si>
    <t>共橙一站式超市（南昌国威路店）-52km
共橙一站式超市（南昌经开区庐山南大道店）-58km
共橙一站式超市（永修建昌大道店）-39km</t>
  </si>
  <si>
    <t>共橙一站式超市（奉新县迎宾大道店）-45.0km
共橙一站式超市（靖安清华大道店）-20km
共橙一站式超市（武宁县月山路店）-97km
惠宜选-九江市修水店-82km</t>
  </si>
  <si>
    <t>共橙一站式超市（横峰兴安大道店）-237km
共橙一站式超市（铅山狮江大道店）-18km
惠宜选-上饶吾悦广场店-33km
共橙超市-上饶胜利路店-7km
惠宜选-上饶广丰店-27km
共橙一站式超市（玉山三清大道店）-33km</t>
  </si>
  <si>
    <t>共橙超市-南昌东湖店-46.0km
共橙一站式超市（德兴滨河大道店）-191km
惠宜选-江西上饶市婺源店-61.0km</t>
  </si>
  <si>
    <t>共橙一站式超市（鄱阳县五一北路店）-160km
共橙一站式超市（鄱阳锦宇大道店）-3.8km
共橙一站式超市（万年建德大街店）-67.0km 
惠宜选超市（戈阳县梅山路店）-63.0km</t>
  </si>
  <si>
    <t>共橙一站式超市（宁都县登峰大道店）-294km
共橙一站式超市（瑞金龙珠路店）-75km
共橙一站式超市（会昌兴会路店）-43.0km
共橙一站式超市（安远腾飞路店）-103.0km
共橙一站式超市（定南龙亭路店）-67.0km</t>
  </si>
  <si>
    <t>共橙一站式超市（吉水万里大道店）-193km
共橙一站式超市（泰和澄江大道店）-62km
共橙一站式超市（永新湘赣大道店）-86km
共橙一站式超市（井冈山步云山路店）-45.0km
共橙一站式超市（遂川川江南路店）-97km</t>
  </si>
  <si>
    <t>共橙-站式超市(高安瑞阳大道店)-41.0km
惠宜选超市(高安沿江中路店)-3km
厉臣-宜春市上高店-55km
共橙-站式超市(万载县康乐大道店)-56km</t>
  </si>
  <si>
    <t>共橙一站式超市(南昌东祥路店)-32km
共橙一站式超市(南昌云飞路店)-6.9km
共橙一站式超市(丰城府佑东路店)-63km
共橙一站式超市(樟树药都路店)-29.0km</t>
  </si>
  <si>
    <t>共橙一站式超市（宜春文体路店）-195km
惠宜选-江西宜春中山西路店-4.8km
共橙一站式超市（芦溪县凌云南路店）-48km
惠宜选-萍乡金三角店-21km
惠宜选超市（萍乡萍安中大道店）-4.4km</t>
  </si>
  <si>
    <t>共橙一站式超市（进贤昌盛路店）-79km
共橙一站式超市（东乡求学路店）-41.0km
共橙一站式超市（鹰潭余江区白塔东路店）-25km
共橙一站式超市（鹰潭五洲路店）-23.0km
共橙一站式超市（鹰潭市林荫东路店）-3.4km</t>
  </si>
  <si>
    <t>共橙一站式超市（南昌小洲路店）-35km
共橙一站式超市（进贤吴万街店）-55km
共橙一站式超市（抚州金巢大道店）-64km
共橙一站式超市（抚州迎宾大道店）-3.3km</t>
  </si>
  <si>
    <t>共橙一站式超市（南昌安宝大道店）-37km
共橙一站式超市（抚州玉茗路店）-96km
共橙一站式超市（崇仁站前路店）-34.0km</t>
  </si>
  <si>
    <t>共橙一站式超市（南昌招贤大道店）-16.0km
共橙一站式超市（武宁月山路店）-131km
惠宜选-九江市修水店-82km</t>
  </si>
  <si>
    <t>共橙一站式超市（南昌明月山大道店）-7.4km
共橙一站式超市（靖安清华大道店）-57km
共橙一站式超市（奉新县迎宾大道店）-22km
共橙一站式超市（宜丰县新昌中路店）-81km</t>
  </si>
  <si>
    <t>共橙一站式超市（金溪县秀谷西大道店）-158km
惠宜选超市（弋阳县梅山路店）-98km
惠宜选-上饶吾悦广场店-54.0km
惠宜选-上饶广丰店-33.0km</t>
  </si>
  <si>
    <t>共橙一站式超市（南昌招贤大道店）-16.0km
惠宜选-江西上饶市婺源店-285km</t>
  </si>
  <si>
    <t>共橙一站式超市（鄱阳县五一北路店）-160km
共橙一站式超市（鄱阳锦宇大道店）-3.8km
共橙一站式超市（浮梁县新昌北路店）-81km</t>
  </si>
  <si>
    <t>共橙一站式超市（抚州乐安大道店）-148km
共橙一站式超市（南丰南广路店）-121km
共橙一站式超市（南城登高路店）-44km</t>
  </si>
  <si>
    <t>共橙一站式超市（兴国县将军大道店）-321.0km
共橙一站式超市（赣县梅林大街店）-67km
共橙一站式超市（赣江东江源大道店）-15km</t>
  </si>
  <si>
    <t>共橙一站式超市（瑞金龙珠路店）-366km
共橙一站式超市（会昌兴会路店）-43.0km
共橙一站式超市（安远腾飞路店）-103.0km
共橙一站式超市（定南龙亭路店）-67.0km</t>
  </si>
  <si>
    <t>共橙一站式超市（宜黄县凤凰路店）-176km
共橙一站式超市（黎川杏林路店）-102km
共橙一站式超市（广昌站前路店）-105km</t>
  </si>
  <si>
    <t>共橙一站式超市（宜丰县永康路店）-113km</t>
  </si>
  <si>
    <t>共橙一站式超市（九江八里湖大道店）-141.0km
共橙一站式超市（九江浔阳东路店）-8.8km
共橙一站式超市（湖口渊明路店）-30.0km
厉臣便利（彭泽县龙兴路店）-34km</t>
  </si>
  <si>
    <t>共橙一站式超市（南昌京东大道店）-56km
共橙一站式超市（庐山玉帘路店）-132km
共橙一站式超市（庐山星光大道店）-1.5km
厉臣-九江市都昌东风大道店-49km</t>
  </si>
  <si>
    <t>共橙一站式超市（九江庐山西路店）-131km
惠宜选-九江市柴桑店-1.7km
共橙一站式超市（九江花溪路店）-17.0km
共橙一站式超市（瑞昌赤乌大道店）-52km</t>
  </si>
  <si>
    <t>共橙一站式超市（南昌锦江南路店）-28km
共橙一站式超市（永修建昌大道店）-42km
共橙一站式超市（共青城南湖大道店）-34km
共橙一站式超市（德安宝塔大道店）-14km</t>
  </si>
  <si>
    <t>共橙一站式超市（安义学府大道店）-42.0km
共橙一站式超市（靖安清华大道店）-25.0km
共橙一站式超市（高安瑞阳大道店）-62km</t>
  </si>
  <si>
    <t>共橙一站式超市（南昌东祥路店）-32km
共橙一站式超市（丰城府佑东路店）-62km
共橙一站式超市（新余市青年路店）-108km</t>
  </si>
  <si>
    <t>惠宜选超市（高安沿江中路店）-44km
厉臣-宜春市上高店-55.0km</t>
  </si>
  <si>
    <t>共橙一站式超市( 景德镇紫晶路店)-223km
共橙一站式超市( 景德镇翠云路店)-10km
共橙-站式超市(浮梁县新昌北路店)-13km</t>
  </si>
  <si>
    <t>共橙-站式超市(鄱阳县五一北路店)-151km
共橙一站式超市(万年建德大街店)-69km
共橙-站式超市(德兴滨河大道店)-86.0km
惠宜选-江西_上饶市婺源店-61.0km</t>
  </si>
  <si>
    <t>共橙一站式超市(新干县金川大道店)-123km
共橙-站式超市(宁都县登峰大道店)-203km
共橙一站式超市(瑞金龙珠路店)-75.0km
共橙一站式超市(会昌兴会路店)-43.0km
共橙-站式超市(安远腾飞路店)-103.0km
共橙-站式超市(定南龙亭路店)-67.0km</t>
  </si>
  <si>
    <t>共橙-站式超市(金溪县秀谷西大道店)-158km
共橙-站式超市(宜黄县凤凰路店)-92km
共橙一站式超市(南城登高路店)-75km
共橙-站式超市(黎川杏林路店)-60km
共橙一站式超市(南丰南广路店)-59km
共橙-站式超市(广昌站前路店)-50km</t>
  </si>
  <si>
    <t>共橙-站式超市(鹰潭余江区白塔东路店)-142km
共橙一站式超市(鹰潭五洲路店)-23.0km
共橙-站式超市(鹰潭市林荫东路店)-2.0km
共橙-站式超市(贵溪雄石东路店)-19.6km</t>
  </si>
  <si>
    <t>共橙-站式超市(南昌明月山大道店)-7.4km
共橙一站式超市(南昌东祥路店)-31km
共橙-站式超市(进贤吴万街店)-59km
厉臣便利(东乡状元路店)-44km
共橙一站式超市(东乡求学路店)-2.2km</t>
  </si>
  <si>
    <t>共橙超市-南昌东湖店-47km
共橙一站式超市(九江八里湖大道店)-151km
共橙-站式超市(九江花溪路店)-6.5km
共橙-站式超市(九江浔阳东路店)-10.0km
共橙-站式超市(湖口渊明路店)-28km
厉臣便利(彭泽县龙兴路店)-35km</t>
  </si>
  <si>
    <t>共橙-站式超市(南昌国威路店)-52km
共橙-站式超市(南昌锦江路店)-66km
共橙一站式超市(德安宝塔大道店)-75km
惠宜选九江市柴桑店-45km
共橙-站式超市(瑞昌赤乌大道店)-40km</t>
  </si>
  <si>
    <t>共橙一站式超市(永修建昌大道店)-59km
共橙-站式超市(共青城南湖大道店)-34km
共橙-站式超市(庐山玉帘路店)-51.0km
共橙一站式超市(庐山星光大道店)-1.8km
厉臣-九江市都昌东风大道店-48.0km</t>
  </si>
  <si>
    <t>共橙一站式超市（萍乡砚田路店）-264km</t>
  </si>
  <si>
    <t>共橙一站式超市(南昌招贤大道店)-16.0km
共橙一站式超市(余干县世纪大道店)-119km
共橙-站式超市(万年建德大街店)-44.0km
共橙-站式超市(德兴滨河大道店)-86.0km
惠宜选-江西上饶市婺源店-61.0km</t>
  </si>
  <si>
    <t>共橙一站式超市(黎川杏林路店)-222km
共橙一站式超市(南丰南广路店)-54.0km
共橙一站式超市(广昌站前路店)-52.0km
共橙一站式超市(宁都县登峰大道店)-59km
共橙一站式超市(瑞金龙珠路店)-75.0km
共橙一站式超市(会昌兴会路店)-43.0km
共橙一站式超市(安远腾飞路店)-103.0km
共橙一站式超市(定南龙亭路店)-68.0km</t>
  </si>
  <si>
    <t>共橙-站式超市(南昌京东大道店)-56km
惠宜选超市(弋阳县梅山路店)-186km
惠宜选上饶吾悦广场店-55km
惠宜选上饶广丰店-33.0km
共橙- -站式超市(玉山三清大道店)-33km</t>
  </si>
  <si>
    <t>共橙一站式超市（南昌明月山大道店）-7.4km
共橙一站式超市（高安瑞阳大道店）-45km
厉臣-宜春市上高店-54.0km
共橙一站式超市（万载县康乐大道店）-56km</t>
  </si>
  <si>
    <t>共橙一站式超市（南昌云飞路店）-36.0km
共橙超市-南昌东湖店-11km
共橙一站式超市（九江庐山西路店）-142km
惠宜选-九江市柴桑店-1.7km
共橙一站式超市（九江花溪路店）-17.0km</t>
  </si>
  <si>
    <t>共橙一站式超市（永修建昌大道店）-59.0km
共橙一站式超市（瑞昌赤乌大道店）-113km
共橙一站式超市（瑞昌人民北路店）-2.1km</t>
  </si>
  <si>
    <t>共橙一站式超市（南昌经开区庐山南大道店）-26.0km
共橙一站式超市（庐山玉帘路店）-114km
共橙一站式超市（庐山星光大道店）-1.5km
厉臣-九江市都昌东风大道店-48.0km</t>
  </si>
  <si>
    <t>共橙一站式超市（南昌小洲路店）-35km
共橙一站式超市（南昌京东大道店）-29km
共橙一站式超市（共青城南湖大道店）-88km
共橙一站式超市（德安宝塔大道店）-11km</t>
  </si>
  <si>
    <t>共橙一站式超市（南昌长富大道店）-20.0km
  共橙一站式超市（武宁月山路店）-128km
  惠宜选-九江市修水店-81.0km
  共橙一站式超市（修水县龙井路店）-6.3km</t>
  </si>
  <si>
    <t>共橙一站式超市（南昌迎宾中大道店）-30.0km
共橙一站式超市（鹰潭余江区白塔东路店）-123km
共橙一站式超市（鹰潭五洲路店）-23.0km
共橙一站式超市（鹰潭市林荫东路店）-2.0km</t>
  </si>
  <si>
    <t>共橙一站式超市（广昌站前路店）-263km
共橙一站式超市（于都杨公路店）-152km
共橙一站式超市（会昌兴会路店）-88km
共橙一站式超市（安远腾飞路店）-103.0km</t>
  </si>
  <si>
    <t>共橙一站式超市（南城登高路店）-169.0km
共橙一站式超市（金溪县秀谷西大道店）-47km
惠宜选-上饶吾悦广场店-146km
共橙一站式超市（玉山三清大道店）-57km</t>
  </si>
  <si>
    <t>共橙一站式超市（万年建德大街店）-165km
共橙一站式超市（德兴滨河大道店）-86.0km
惠宜选-江西上饶市婺源店-61.0km</t>
  </si>
  <si>
    <t>共橙一站式超市（南昌东祥路店）-32.0km
共橙一站式超市（鄱阳县五一北路店）-130km
共橙一站式超市（鄱阳锦宇大道店）-3.8km
共橙一站式超市（景德镇紫晶路店）-82km</t>
  </si>
  <si>
    <t>共橙一站式超市（南昌招贤大道店）-16.0km
共橙一站式超市（新干县金川大道店）-129km
共橙一站式超市（吉安田侯路店）-89km
共橙一站式超市（吉安县赣江大道店）-11.0km
共橙一站式超市（泰和澄江大道店）-29.0km</t>
  </si>
  <si>
    <t>共橙一站式超市（赣州龙岭镇店）-382km
共橙一站式超市（南康蓝田大道店）-8km</t>
  </si>
  <si>
    <t>惠宜选超市（赣州章江北大道店）-380km</t>
  </si>
  <si>
    <t>共橙一站式超市（永修建昌大道店）-59.0km
共橙一站式超市（九江八里湖大道店）-90km
共橙一站式超市（九江花溪路店）-7.0km
共橙一站式超市（九江浔阳东路店）-10.0km
共橙一站式超市（湖口渊明路店）-30.0km</t>
  </si>
  <si>
    <t>共橙一站式超市（南昌经开区庐山南大道店）-26.0km
共橙一站式超市（共青城南湖大道店）-68.0km
共橙一站式超市（德安宝塔大道店）-11km
惠宜选-九江市柴桑店-45km
共橙一站式超市（瑞昌赤乌大道店）-35.0km</t>
  </si>
  <si>
    <t>共橙一站式超市（南昌云飞路店）-36.0km
共橙超市-南昌东湖店-11km
共橙一站式超市（南昌国威路店）-6.6km
共橙一站式超市（庐山玉帘路店）-143km
共橙一站式超市（庐山星光大道店）-1.5km
厉臣-九江市都昌东风大道店-49km</t>
  </si>
  <si>
    <t>共橙一站式超市（南昌明月山大道店）-7.4km
共橙一站式超市（万载县康乐大道店）-154km
共橙一站式超市（宜春文体路店）-39km
惠宜选-江西宜春中山西路店-4.8km
共橙一站式超市（芦溪县凌云南路店）-48km</t>
  </si>
  <si>
    <t>共橙一站式超市（南昌长富大道店）-19km
共橙一站式超市（余干县世纪大道店）-119km
共橙一站式超市（鄱阳县五一北路店）-45km
共橙一站式超市（鄱阳锦宇大道店）-3.8km
共橙一站式超市（德兴滨河大道店）-105km
惠宜选-江西上饶市婺源店-62km</t>
  </si>
  <si>
    <t>共橙一站式超市（于都杨公路店）-357km
共橙一站式超市（赣县梅林大街店）-51km
共橙一站式超市（赣江东江源大道店）-15km
共橙一站式超市（赣州龙岭镇店）-24km
共橙一站式超市（上犹文锦路店）-43km
共橙一站式超市（崇义章源大道店）-32km
共橙一站式超市（大余建安路店）-48.0km
共橙一站式超市（信丰沿江路店）-77km</t>
  </si>
  <si>
    <t>共橙一站式超市（新干县金川大道店）-123km
共橙一站式超市（永丰欧阳修大道店）-61km
共橙一站式超市（吉安青原大道店）-54km
共橙一站式超市（吉安县赣江大道店）-15.0km
共橙一站式超市（泰和澄江大道店）-29.0km
共橙一站式超市（永新湘赣大道店）-86km
共橙一站式超市（井冈山步云山路店）-45.0km
共橙一站式超市（遂川川江南路店）-97km</t>
  </si>
  <si>
    <t>共橙一站式超市 (南昌经开区庐山南大道店)-26km  
共橙一站式超市(九江花溪路店)-120km  
共橙一站式超市（九江浔阳东路店）-10km 
共橙一站式超市(湖口渊明路店)-28km  
厉臣便利（彭泽县龙兴路店） -36km</t>
  </si>
  <si>
    <t>共橙一站式超市 (南昌迎宾中大道店) -39km 
共橙一站式超市(永修建昌大道店) -78km  
共橙一站式超市（德安宝塔大道店）-39km  
共橙一站式超市(九江庐山西路店)  -43km
惠宜选-九江市柴桑店  -1.8km
共橙一站式超市 (九江八里湖大道店)-15km</t>
  </si>
  <si>
    <t>共橙一站式超市 (南昌明月山大道店) -7.4km 
共橙一站式超市（南昌招贤大道店） -13km 
共橙一站式超市 (南昌锦江路店) -16km 
共橙一站式超市(瑞昌赤乌大道店)  -148km
共橙一站式超市 (瑞昌人民北路店) -2.1km</t>
  </si>
  <si>
    <t>共橙一站式超市(安义学府大道店) -43km
共橙一站式超市(共青城南湖大道店）-67km
共橙一站式超市（庐山玉帘路店）-51km
共橙一站式超市（庐山星光大道店）-1.5km
厉臣-九江市都昌东风大道店-49km</t>
  </si>
  <si>
    <t>共橙一站式超市 (南昌安宝大道店) -37km
共橙一站式超市（抚州金巢大道店）-87km
共橙一站式超市 (抚州迎宾大道店)-3.3km
共橙一站式超市 (抚州玉茗路店) -6.4km
共橙一站式超市(崇仁站前路店) -34km</t>
  </si>
  <si>
    <t>共橙一站式超市(南昌招贤大道店)-16km
共橙一站式超市（南昌长富大道店）-7.7km
共橙一站式超市(南昌京东大道店)-48km
共橙一站式超市（宜黄县凤凰路店）-160km
共橙一站式超市(抚州乐安大道店）-58km
共橙一站式超市（永丰欧阳修大道店）-50km</t>
  </si>
  <si>
    <t>共橙一站式超市(南昌东祥路店)-32km
惠宜选超市（弋阳县梅山路店）-192km
共橙一站式超市（横峰兴安大道店）-19km
惠宜选-上饶吾悦广场店-35km
惠宜选-上饶广丰店-31km
共橙一站式超市（玉山三清大道店）-33km</t>
  </si>
  <si>
    <t>共橙一站式超市（鄱阳县五一北路店）-160km
共橙一站式超市（鄱阳锦宇大道店）-3.8km
共橙一站式超市（万年建德大街店）-67km
共橙一站式超市（德兴滨河大道店）-86km
惠宜选-江西上饶市婺源店-62km</t>
  </si>
  <si>
    <t>共橙一站式超市(宁都县登峰大道店)-291km
共橙一站式超市（于都杨公路店）-93km
共橙一站式超市(瑞金龙珠路店）-78km
共橙一站式超市（会昌兴会路店）-43km
共橙一站式超市(安远腾飞路店）-103km
共橙一站式超市（定南龙亭路店）-67km</t>
  </si>
  <si>
    <t>共橙一站式超市（南昌明月山大道店）-7.4km
共橙一站式超市（高安瑞阳大道店）-45km
厉臣-宜春市上高店-54km
共橙一站式超市（万载县康乐大道店）-56km</t>
  </si>
  <si>
    <t>共橙一站式超市（抚州金巢大道店）-117km
共橙一站式超市（抚州迎宾大道店）-3.3km
共橙一站式超市(抚州玉茗路店)-6.4km
共橙一站式超市（崇仁站前路店）-34km</t>
  </si>
  <si>
    <t>共橙一站式超市（九江庐山西路店）-132km
共橙一站式超市(九江花溪路店）-18km
共橙一站式超市（九江浔阳东路店）-10km
共橙一站式超市（湖口渊明路店）-28km
厉臣便利（彭泽县龙兴路店）-34km</t>
  </si>
  <si>
    <t>共橙一站式超市（德安宝塔大道店）-93km
惠宜选-九江市柴桑店-45km
共橙一站式超市(瑞昌赤乌大道店)-40km
共橙一站式超市（瑞昌人民北路店）-2.6km</t>
  </si>
  <si>
    <t>共橙一站式超市(南昌长富大道店)-19km
共橙一站式超市（南昌经开区庐山南大道店）-8.2km
共橙一站式超市（庐山玉帘路店）-116km
共橙一站式超市（庐山星光大道店）-1.5km
厉臣-九江市都昌东风大道店-49km</t>
  </si>
  <si>
    <t>共橙一站式超市(于都杨公路店)-357km
共橙一站式超市(赣州五洲大道店)-61km</t>
  </si>
  <si>
    <t>共橙一站式超市 (南昌招贤大道店)-16km
惠宜选超市（弋阳县梅山路店）-222km
共橙一站式超市 (横峰兴安大道店)-19km
惠宜选-上饶广丰店-65km
共橙一站式超市 (玉山三清大道店)-33km</t>
  </si>
  <si>
    <t>共橙一站式超市(进贤昌盛路店)-79km
共橙一站式超市(宁都县登峰大道店）-251km
共橙一站式超市(瑞金龙珠路店)-75km
共橙一站式超市（会昌兴会路店）-43km
共橙一站式超市 (安远腾飞路店)-103km</t>
  </si>
  <si>
    <t>共橙一站式超市 (金溪县秀谷西大道店)-155km
共橙一站式超市 (宜黄县凤凰路店)-92km
共橙一站式超市 (南城登高路店)-74km
共橙一站式超市(黎川杏林路店)-57km
共橙一站式超市 (南丰南广路店)-56km
共橙一站式超市（广昌站前路店）-50km</t>
  </si>
  <si>
    <t>共橙一站式超市(南昌解放西路店)-56km
共橙一站式超市 (抚州乐安大道店)-157km
共橙一站式超市 (永丰欧阳修大道店)-50km
共橙一站式超市(吉安田侯路店)-60km</t>
  </si>
  <si>
    <t>共橙一站式超市 (兴国县将军大道店)-319km</t>
  </si>
  <si>
    <t>共橙一站式超市 (鄱阳县五一北路店)-160km
共橙一站式超市(景德镇紫晶路店)-83km
共橙一站式超市 (景德镇翠云路店)-10km
共橙一站式超市(浮梁县新昌北路店）-13km</t>
  </si>
  <si>
    <t>共橙一站式超市（九江庐山西路店）-132km
惠宜选-九江市柴桑店 -1.8km  
共橙一站式超市（九江花溪路店）-17km  
共橙一站式超市（九江浔阳东路店）-11km  
共橙一站式超市（湖口渊明路店）-29km 
厉臣便利（彭泽县龙兴路店）-36km</t>
  </si>
  <si>
    <t>共橙一站式超市（南昌经开区庐山南大道店）-26km  
共橙一站式超市（共青城南湖大道店）-65km 
共橙一站式超市（德安宝塔大道店） -14km
共橙一站式超市（瑞昌赤乌大道店）-72km   
共橙一站式超市（瑞昌人民北路店）-2.1km</t>
  </si>
  <si>
    <t>共橙一站式超市（南昌明月山大道店）-7.4km
  共橙一站式超市（永修建昌大道店）-56km
  共橙一站式超市（庐山玉帘路店）-77km
  共橙一站式超市（庐山星光大道店）-1.5km
  厉臣-九江市都昌东风大道店-49km</t>
  </si>
  <si>
    <t>共橙一站式超市（丰城府佑东路店）-61km  
共橙一站式超市（丰城紫云南大道店）-2.1km  
共橙一站式超市（樟树药都路店）-29km  
惠宜选-江西宜春中山西路店-134km</t>
  </si>
  <si>
    <t>共橙一站式超市（永新湘赣大道店）-288km
共橙一站式超市（井冈山步云山路店）-45km
共橙一站式超市（遂川川江南路店）-97km
共橙一站式超市（上犹文锦路店）-93km
共橙一站式超市（赣州龙岭镇店）-52km
共橙一站式超市（南康蓝田大道店）-8.6km
共橙一站式超市（信丰沿江路店）-47km
共橙一站式超市（大余建安路店）-78km</t>
  </si>
  <si>
    <t>共橙一站式超市（永丰欧阳修大道店）-191km
共橙一站式超市（兴国县将军大道店）-147km
共橙一站式超市（赣县梅林大街店）-67km
共橙一站式超市（赣州五洲大道店）-10km
共橙一站式超市（赣江东江源大道店）-8.8km
共橙一站式超市（赣州迎宾大道店）-8.7km</t>
  </si>
  <si>
    <t>共橙一站式超市（新干县金川大道店）-123km
共橙一站式超市（吉水万里大道店）-65km
共橙一站式超市（吉安青原大道店）-20km
共橙一站式超市（吉安县赣江大道店）-15km
共橙一站式超市（泰和澄江大道店）-29km</t>
  </si>
  <si>
    <t>共橙一站式超市（南昌招贤大道店）-16km
共橙一站式超市（余干县世纪大道店）-125km
共橙一站式超市（万年建德大街店）-42km
共橙一站式超市（德兴滨河大道店）-86km
惠宜选-江西上饶市婺源店-62km</t>
  </si>
  <si>
    <t>共橙一站式超市（南昌国威路店）-52km
共橙一站式超市（进贤吴万街店）-63km
共橙一站式超市（进贤昌盛路店）-2.5km
共橙一站式超市（抚州金巢大道店）-59km
共橙一站式超市（抚州迎宾大道店）-3.3km
共橙一站式超市（抚州玉茗路店）-6.4km
共橙一站式超市（崇仁站前路店）-34km</t>
  </si>
  <si>
    <t>共橙一站式超市（南昌锦江路店）-28km
共橙一站式超市（永修建昌大道店）-43km
共橙一站式超市（共青城南湖大道店）-34km
共橙一站式超市（庐山玉帘路店）-51km
共橙一站式超市（庐山星光大道店）-1.5km
厉臣-九江市都昌东风大道店-49km</t>
  </si>
  <si>
    <t>共橙一站式超市（南昌经开区庐山南大道店）-26km
惠宜选-九江市柴桑店-112km
共橙一站式超市（九江花溪路店）-17km
共橙一站式超市（九江浔阳东路店）-10km
共橙一站式超市（湖口渊明路店）-28km
厉臣便利（彭泽县龙兴路店）-34km</t>
  </si>
  <si>
    <t>共橙一站式超市（九江庐山西路店）-132km
共橙一站式超市（九江八里湖大道店）-14km
共橙一站式超市（瑞昌赤乌大道店）-46km
共橙一站式超市（瑞昌人民北路店）-2.1km</t>
  </si>
  <si>
    <t>共橙一站式超市（广昌站前路店）-263km
共橙一站式超市（宁都县登峰大道店）-58km
共橙一站式超市（瑞金龙珠路店）-75km
共橙一站式超市（会昌兴会路店）-43km
共橙一站式超市（于都杨公路店）-88km
共橙一站式超市（赣县梅林大街店）-51km
共橙一站式超市（赣江东江源大道店）-15km
共橙一站式超市（赣州迎宾大道店）-8.7km</t>
  </si>
  <si>
    <t>共橙一站式超市（新干县金川大道店）-123km
共橙一站式超市（抚州乐安大道店）-73km
共橙一站式超市（永丰欧阳修大道店）-50km
共橙一站式超市（吉水万里大道店）-39km
共橙一站式超市（吉安县赣江大道店）-33km
共橙一站式超市（泰和澄江大道店）-29km
共橙一站式超市（永新湘赣大道店）-89km
共橙一站式超市（井冈山步云山路店）-45km
共橙一站式超市（遂川川江南路店）-97km</t>
  </si>
  <si>
    <t>共橙一站式超市（南昌东祥路店）-32km
惠宜选超市（弋阳县梅山路店）-192km
共橙一站式超市（横峰兴安大道店）-19km
惠宜选-上饶广丰店-67km
共橙一站式超市（玉山三清大道店）-33km
共橙一站式超市（德兴滨河大道店）-95km
惠宜选-江西上饶市婺源店-62km</t>
  </si>
  <si>
    <t>共橙一站式超市（南昌明月山大道店）-7.4km
共橙一站式超市（南昌云飞路店）-35km
共橙一站式超市（南昌国威路店）-15km
共橙一站式超市（南昌京东大道店）-6.1km
厉臣-宜春市上高店-148km
共橙一站式超市（万载县康乐大道店）-56km</t>
  </si>
  <si>
    <t>共橙一站式超市(南昌东祥路店)-32km
惠宜选超市（弋阳县梅山路店）-192km
共橙一站式超市（横峰兴安大道店）-19km
惠宜选-上饶吾悦广场店-35km
惠宜选-上饶广丰店-31km
共橙一站式超市（玉山三清大道店）-?km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</si>
</sst>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58" fontId="1" fillId="3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"/>
  <sheetViews>
    <sheetView tabSelected="1" zoomScale="110" zoomScaleNormal="110" workbookViewId="0">
      <pane ySplit="1" topLeftCell="A108" activePane="bottomLeft" state="frozen"/>
      <selection/>
      <selection pane="bottomLeft" activeCell="C117" sqref="C117"/>
    </sheetView>
  </sheetViews>
  <sheetFormatPr defaultColWidth="15.625" defaultRowHeight="14.25"/>
  <cols>
    <col min="1" max="1" width="11.375" style="2" customWidth="1"/>
    <col min="2" max="2" width="11.125" style="2" customWidth="1"/>
    <col min="3" max="3" width="42.375" style="3" customWidth="1"/>
    <col min="4" max="4" width="15.875" style="2" customWidth="1"/>
    <col min="5" max="5" width="12.125" style="2" customWidth="1"/>
    <col min="6" max="7" width="15.625" style="4" customWidth="1"/>
    <col min="8" max="8" width="14.25" style="5" customWidth="1"/>
    <col min="9" max="9" width="12.25" style="5" customWidth="1"/>
    <col min="10" max="10" width="11.5083333333333" style="5" customWidth="1"/>
    <col min="11" max="11" width="15.625" style="5" customWidth="1"/>
    <col min="12" max="12" width="15.625" style="6" customWidth="1"/>
    <col min="13" max="16384" width="15.625" style="2" customWidth="1"/>
  </cols>
  <sheetData>
    <row r="1" ht="30" customHeight="1" spans="1:14">
      <c r="A1" s="7" t="s">
        <v>0</v>
      </c>
      <c r="B1" s="7" t="s">
        <v>1</v>
      </c>
      <c r="C1" s="8" t="s">
        <v>2</v>
      </c>
      <c r="D1" s="7" t="s">
        <v>3</v>
      </c>
      <c r="E1" s="7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8</v>
      </c>
      <c r="L1" s="7" t="s">
        <v>9</v>
      </c>
      <c r="M1" s="7" t="s">
        <v>10</v>
      </c>
      <c r="N1" s="7" t="s">
        <v>11</v>
      </c>
    </row>
    <row r="2" s="18" customFormat="1" ht="57" spans="1:16">
      <c r="A2" s="22">
        <v>1</v>
      </c>
      <c r="B2" s="23">
        <v>45931</v>
      </c>
      <c r="C2" s="24" t="s">
        <v>12</v>
      </c>
      <c r="D2" s="22" cm="1">
        <f t="array" ref="D2">SUM(VALUE(SUBSTITUTE(_xlfn.TEXTAFTER(_xlfn.TEXTSPLIT(C2,CHAR(10)),"-",-1),"km","")))</f>
        <v>238</v>
      </c>
      <c r="E2" s="22">
        <f>42+63+10+12+10+8</f>
        <v>145</v>
      </c>
      <c r="F2" s="25">
        <f t="shared" ref="F2:F65" si="0">G2/1.09</f>
        <v>3.94495412844037</v>
      </c>
      <c r="G2" s="25">
        <f>IF(D2&gt;=301,4.1,IF(D2&gt;=201,4.3,IF(D2&gt;=101,4.5,"")))</f>
        <v>4.3</v>
      </c>
      <c r="H2" s="25">
        <f t="shared" ref="H2:H65" si="1">D2*F2</f>
        <v>938.899082568808</v>
      </c>
      <c r="I2" s="25">
        <f t="shared" ref="I2:I65" si="2">D2*G2</f>
        <v>1023.4</v>
      </c>
      <c r="J2" s="25">
        <f>IF(D2&gt;=301,3.2,IF(D2&gt;=201,3.5,IF(D2&gt;=101,3.5,"")))</f>
        <v>3.5</v>
      </c>
      <c r="K2" s="25">
        <f t="shared" ref="K2:K65" si="3">D2*J2</f>
        <v>833</v>
      </c>
      <c r="L2" s="22"/>
      <c r="M2" s="22"/>
      <c r="N2" s="22"/>
      <c r="O2" s="18">
        <v>238</v>
      </c>
      <c r="P2" s="18">
        <f t="shared" ref="P2:P7" si="4">D2-O2</f>
        <v>0</v>
      </c>
    </row>
    <row r="3" s="18" customFormat="1" ht="85.5" spans="1:17">
      <c r="A3" s="22">
        <v>2</v>
      </c>
      <c r="B3" s="23">
        <v>45931</v>
      </c>
      <c r="C3" s="24" t="s">
        <v>13</v>
      </c>
      <c r="D3" s="22" cm="1">
        <f t="array" ref="D3">SUM(VALUE(SUBSTITUTE(_xlfn.TEXTAFTER(_xlfn.TEXTSPLIT(C3,CHAR(10)),"-",-1),"km","")))</f>
        <v>192.5</v>
      </c>
      <c r="E3" s="22">
        <f>143+48+43+36</f>
        <v>270</v>
      </c>
      <c r="F3" s="25">
        <f t="shared" si="0"/>
        <v>4.12844036697248</v>
      </c>
      <c r="G3" s="25">
        <f t="shared" ref="G3:G37" si="5">IF(D3&gt;=301,4.1,IF(D3&gt;=201,4.3,IF(D3&gt;=101,4.5,"")))</f>
        <v>4.5</v>
      </c>
      <c r="H3" s="25">
        <f t="shared" si="1"/>
        <v>794.724770642202</v>
      </c>
      <c r="I3" s="25">
        <f t="shared" si="2"/>
        <v>866.25</v>
      </c>
      <c r="J3" s="25">
        <f t="shared" ref="J3:J37" si="6">IF(D3&gt;=301,3.2,IF(D3&gt;=201,3.5,IF(D3&gt;=101,3.5,"")))</f>
        <v>3.5</v>
      </c>
      <c r="K3" s="25">
        <f t="shared" si="3"/>
        <v>673.75</v>
      </c>
      <c r="L3" s="22"/>
      <c r="M3" s="22"/>
      <c r="N3" s="22"/>
      <c r="O3" s="18">
        <v>188.7</v>
      </c>
      <c r="P3" s="18">
        <f t="shared" si="4"/>
        <v>3.80000000000001</v>
      </c>
      <c r="Q3" s="19"/>
    </row>
    <row r="4" s="19" customFormat="1" ht="42.75" spans="1:16">
      <c r="A4" s="22">
        <v>3</v>
      </c>
      <c r="B4" s="23">
        <v>45931</v>
      </c>
      <c r="C4" s="24" t="s">
        <v>14</v>
      </c>
      <c r="D4" s="22" cm="1">
        <f t="array" ref="D4">SUM(VALUE(SUBSTITUTE(_xlfn.TEXTAFTER(_xlfn.TEXTSPLIT(C4,CHAR(10)),"-",-1),"km","")))</f>
        <v>188</v>
      </c>
      <c r="E4" s="22">
        <v>1</v>
      </c>
      <c r="F4" s="25">
        <f t="shared" si="0"/>
        <v>4.12844036697248</v>
      </c>
      <c r="G4" s="25">
        <f t="shared" si="5"/>
        <v>4.5</v>
      </c>
      <c r="H4" s="25">
        <f t="shared" si="1"/>
        <v>776.146788990826</v>
      </c>
      <c r="I4" s="25">
        <f t="shared" si="2"/>
        <v>846</v>
      </c>
      <c r="J4" s="25">
        <f t="shared" si="6"/>
        <v>3.5</v>
      </c>
      <c r="K4" s="25">
        <f t="shared" si="3"/>
        <v>658</v>
      </c>
      <c r="L4" s="22"/>
      <c r="M4" s="22"/>
      <c r="N4" s="22"/>
      <c r="O4" s="19">
        <v>150</v>
      </c>
      <c r="P4" s="18">
        <f t="shared" si="4"/>
        <v>38</v>
      </c>
    </row>
    <row r="5" s="19" customFormat="1" ht="71.25" spans="1:16">
      <c r="A5" s="22">
        <v>4</v>
      </c>
      <c r="B5" s="23">
        <v>45931</v>
      </c>
      <c r="C5" s="26" t="s">
        <v>15</v>
      </c>
      <c r="D5" s="22" cm="1">
        <f t="array" ref="D5">SUM(VALUE(SUBSTITUTE(_xlfn.TEXTAFTER(_xlfn.TEXTSPLIT(C5,CHAR(10)),"-",-1),"km","")))</f>
        <v>278</v>
      </c>
      <c r="E5" s="22">
        <v>2</v>
      </c>
      <c r="F5" s="25">
        <f t="shared" si="0"/>
        <v>3.94495412844037</v>
      </c>
      <c r="G5" s="25">
        <f t="shared" si="5"/>
        <v>4.3</v>
      </c>
      <c r="H5" s="25">
        <f t="shared" si="1"/>
        <v>1096.69724770642</v>
      </c>
      <c r="I5" s="25">
        <f t="shared" si="2"/>
        <v>1195.4</v>
      </c>
      <c r="J5" s="25">
        <f t="shared" si="6"/>
        <v>3.5</v>
      </c>
      <c r="K5" s="25">
        <f t="shared" si="3"/>
        <v>973</v>
      </c>
      <c r="L5" s="27"/>
      <c r="M5" s="27"/>
      <c r="N5" s="27"/>
      <c r="O5" s="19">
        <v>271</v>
      </c>
      <c r="P5" s="18">
        <f t="shared" si="4"/>
        <v>7</v>
      </c>
    </row>
    <row r="6" s="19" customFormat="1" ht="99.75" spans="1:16">
      <c r="A6" s="22">
        <v>5</v>
      </c>
      <c r="B6" s="23">
        <v>45931</v>
      </c>
      <c r="C6" s="26" t="s">
        <v>16</v>
      </c>
      <c r="D6" s="27" cm="1">
        <f t="array" ref="D6">SUM(VALUE(SUBSTITUTE(_xlfn.TEXTAFTER(_xlfn.TEXTSPLIT(C6,CHAR(10)),"-",-1),"km","")))</f>
        <v>193</v>
      </c>
      <c r="E6" s="27">
        <f>98+96</f>
        <v>194</v>
      </c>
      <c r="F6" s="28">
        <f t="shared" si="0"/>
        <v>4.12844036697248</v>
      </c>
      <c r="G6" s="25">
        <f t="shared" si="5"/>
        <v>4.5</v>
      </c>
      <c r="H6" s="28">
        <f t="shared" si="1"/>
        <v>796.788990825689</v>
      </c>
      <c r="I6" s="28">
        <f t="shared" si="2"/>
        <v>868.5</v>
      </c>
      <c r="J6" s="25">
        <f t="shared" si="6"/>
        <v>3.5</v>
      </c>
      <c r="K6" s="28">
        <f t="shared" si="3"/>
        <v>675.5</v>
      </c>
      <c r="L6" s="27"/>
      <c r="M6" s="27"/>
      <c r="N6" s="27"/>
      <c r="O6" s="19">
        <v>183.3</v>
      </c>
      <c r="P6" s="18">
        <f t="shared" si="4"/>
        <v>9.69999999999999</v>
      </c>
    </row>
    <row r="7" s="19" customFormat="1" ht="42.75" spans="1:16">
      <c r="A7" s="22">
        <v>6</v>
      </c>
      <c r="B7" s="29">
        <v>45932</v>
      </c>
      <c r="C7" s="24" t="s">
        <v>17</v>
      </c>
      <c r="D7" s="22" cm="1">
        <f t="array" ref="D7">SUM(VALUE(SUBSTITUTE(_xlfn.TEXTAFTER(_xlfn.TEXTSPLIT(C7,CHAR(10)),"-",-1),"km","")))</f>
        <v>246</v>
      </c>
      <c r="E7" s="22">
        <f>120+74+34+43</f>
        <v>271</v>
      </c>
      <c r="F7" s="25">
        <f t="shared" si="0"/>
        <v>3.94495412844037</v>
      </c>
      <c r="G7" s="25">
        <f t="shared" si="5"/>
        <v>4.3</v>
      </c>
      <c r="H7" s="25">
        <f t="shared" si="1"/>
        <v>970.458715596331</v>
      </c>
      <c r="I7" s="25">
        <f t="shared" si="2"/>
        <v>1057.8</v>
      </c>
      <c r="J7" s="25">
        <f t="shared" si="6"/>
        <v>3.5</v>
      </c>
      <c r="K7" s="25">
        <f t="shared" si="3"/>
        <v>861</v>
      </c>
      <c r="L7" s="22"/>
      <c r="M7" s="22"/>
      <c r="N7" s="22"/>
      <c r="O7" s="19">
        <v>243.4</v>
      </c>
      <c r="P7" s="18">
        <f t="shared" si="4"/>
        <v>2.59999999999999</v>
      </c>
    </row>
    <row r="8" s="19" customFormat="1" ht="85.5" spans="1:16">
      <c r="A8" s="22">
        <v>7</v>
      </c>
      <c r="B8" s="29">
        <v>45932</v>
      </c>
      <c r="C8" s="24" t="s">
        <v>18</v>
      </c>
      <c r="D8" s="22" cm="1">
        <f t="array" ref="D8">SUM(VALUE(SUBSTITUTE(_xlfn.TEXTAFTER(_xlfn.TEXTSPLIT(C8,CHAR(10)),"-",-1),"km","")))</f>
        <v>367</v>
      </c>
      <c r="E8" s="22">
        <f>180+16+9.5+59+47</f>
        <v>311.5</v>
      </c>
      <c r="F8" s="25">
        <f t="shared" si="0"/>
        <v>3.76146788990826</v>
      </c>
      <c r="G8" s="25">
        <f t="shared" si="5"/>
        <v>4.1</v>
      </c>
      <c r="H8" s="25">
        <f t="shared" si="1"/>
        <v>1380.45871559633</v>
      </c>
      <c r="I8" s="25">
        <f t="shared" si="2"/>
        <v>1504.7</v>
      </c>
      <c r="J8" s="25">
        <f t="shared" si="6"/>
        <v>3.2</v>
      </c>
      <c r="K8" s="25">
        <f t="shared" si="3"/>
        <v>1174.4</v>
      </c>
      <c r="L8" s="22"/>
      <c r="M8" s="22"/>
      <c r="N8" s="22"/>
      <c r="O8" s="19">
        <v>368</v>
      </c>
      <c r="P8" s="18">
        <f t="shared" ref="P8:P56" si="7">D8-O8</f>
        <v>-1</v>
      </c>
    </row>
    <row r="9" s="19" customFormat="1" ht="71.25" spans="1:16">
      <c r="A9" s="22">
        <v>8</v>
      </c>
      <c r="B9" s="29">
        <v>45932</v>
      </c>
      <c r="C9" s="24" t="s">
        <v>19</v>
      </c>
      <c r="D9" s="22" cm="1">
        <f t="array" ref="D9">SUM(VALUE(SUBSTITUTE(_xlfn.TEXTAFTER(_xlfn.TEXTSPLIT(C9,CHAR(10)),"-",-1),"km","")))</f>
        <v>378</v>
      </c>
      <c r="E9" s="22">
        <f>127+74+42+50</f>
        <v>293</v>
      </c>
      <c r="F9" s="25">
        <f t="shared" si="0"/>
        <v>3.76146788990826</v>
      </c>
      <c r="G9" s="25">
        <f t="shared" si="5"/>
        <v>4.1</v>
      </c>
      <c r="H9" s="25">
        <f t="shared" si="1"/>
        <v>1421.83486238532</v>
      </c>
      <c r="I9" s="25">
        <f t="shared" si="2"/>
        <v>1549.8</v>
      </c>
      <c r="J9" s="25">
        <f t="shared" si="6"/>
        <v>3.2</v>
      </c>
      <c r="K9" s="25">
        <f t="shared" si="3"/>
        <v>1209.6</v>
      </c>
      <c r="L9" s="22"/>
      <c r="M9" s="22"/>
      <c r="N9" s="22"/>
      <c r="O9" s="19">
        <v>378</v>
      </c>
      <c r="P9" s="18">
        <f t="shared" si="7"/>
        <v>0</v>
      </c>
    </row>
    <row r="10" s="19" customFormat="1" ht="99.75" spans="1:16">
      <c r="A10" s="22">
        <v>9</v>
      </c>
      <c r="B10" s="29">
        <v>45932</v>
      </c>
      <c r="C10" s="24" t="s">
        <v>20</v>
      </c>
      <c r="D10" s="22" cm="1">
        <f t="array" ref="D10">SUM(VALUE(SUBSTITUTE(_xlfn.TEXTAFTER(_xlfn.TEXTSPLIT(C10,CHAR(10)),"-",-1),"km","")))</f>
        <v>679</v>
      </c>
      <c r="E10" s="22">
        <f>98+67+17</f>
        <v>182</v>
      </c>
      <c r="F10" s="25">
        <f t="shared" si="0"/>
        <v>3.76146788990826</v>
      </c>
      <c r="G10" s="25">
        <f t="shared" si="5"/>
        <v>4.1</v>
      </c>
      <c r="H10" s="25">
        <f t="shared" si="1"/>
        <v>2554.03669724771</v>
      </c>
      <c r="I10" s="25">
        <f t="shared" si="2"/>
        <v>2783.9</v>
      </c>
      <c r="J10" s="25">
        <f t="shared" si="6"/>
        <v>3.2</v>
      </c>
      <c r="K10" s="25">
        <f t="shared" si="3"/>
        <v>2172.8</v>
      </c>
      <c r="L10" s="22"/>
      <c r="M10" s="22"/>
      <c r="N10" s="22"/>
      <c r="O10" s="19">
        <v>680</v>
      </c>
      <c r="P10" s="18">
        <f t="shared" si="7"/>
        <v>-1</v>
      </c>
    </row>
    <row r="11" s="19" customFormat="1" ht="42.75" spans="1:16">
      <c r="A11" s="22">
        <v>10</v>
      </c>
      <c r="B11" s="29">
        <v>45933</v>
      </c>
      <c r="C11" s="24" t="s">
        <v>21</v>
      </c>
      <c r="D11" s="22" cm="1">
        <f t="array" ref="D11">SUM(VALUE(SUBSTITUTE(_xlfn.TEXTAFTER(_xlfn.TEXTSPLIT(C11,CHAR(10)),"-",-1),"km","")))</f>
        <v>217</v>
      </c>
      <c r="E11" s="22">
        <f>13+83+10+7+8</f>
        <v>121</v>
      </c>
      <c r="F11" s="25">
        <f t="shared" si="0"/>
        <v>3.94495412844037</v>
      </c>
      <c r="G11" s="25">
        <f t="shared" si="5"/>
        <v>4.3</v>
      </c>
      <c r="H11" s="25">
        <f t="shared" si="1"/>
        <v>856.05504587156</v>
      </c>
      <c r="I11" s="25">
        <f t="shared" si="2"/>
        <v>933.1</v>
      </c>
      <c r="J11" s="25">
        <f t="shared" si="6"/>
        <v>3.5</v>
      </c>
      <c r="K11" s="25">
        <f t="shared" si="3"/>
        <v>759.5</v>
      </c>
      <c r="L11" s="22"/>
      <c r="M11" s="22"/>
      <c r="N11" s="22"/>
      <c r="O11" s="19">
        <v>224</v>
      </c>
      <c r="P11" s="18">
        <f t="shared" si="7"/>
        <v>-7</v>
      </c>
    </row>
    <row r="12" s="19" customFormat="1" ht="28.5" spans="1:16">
      <c r="A12" s="22">
        <v>11</v>
      </c>
      <c r="B12" s="29">
        <v>45933</v>
      </c>
      <c r="C12" s="24" t="s">
        <v>22</v>
      </c>
      <c r="D12" s="22" cm="1">
        <f t="array" ref="D12">SUM(VALUE(SUBSTITUTE(_xlfn.TEXTAFTER(_xlfn.TEXTSPLIT(C12,CHAR(10)),"-",-1),"km","")))</f>
        <v>165</v>
      </c>
      <c r="E12" s="22">
        <f>13+83+10+7+8</f>
        <v>121</v>
      </c>
      <c r="F12" s="25">
        <f t="shared" si="0"/>
        <v>4.12844036697248</v>
      </c>
      <c r="G12" s="25">
        <f t="shared" si="5"/>
        <v>4.5</v>
      </c>
      <c r="H12" s="25">
        <f t="shared" si="1"/>
        <v>681.192660550459</v>
      </c>
      <c r="I12" s="25">
        <f t="shared" si="2"/>
        <v>742.5</v>
      </c>
      <c r="J12" s="25">
        <f t="shared" si="6"/>
        <v>3.5</v>
      </c>
      <c r="K12" s="25">
        <f t="shared" si="3"/>
        <v>577.5</v>
      </c>
      <c r="L12" s="22"/>
      <c r="M12" s="22"/>
      <c r="N12" s="22"/>
      <c r="O12" s="19">
        <v>164</v>
      </c>
      <c r="P12" s="18">
        <f t="shared" si="7"/>
        <v>1</v>
      </c>
    </row>
    <row r="13" s="19" customFormat="1" ht="57" spans="1:16">
      <c r="A13" s="22">
        <v>12</v>
      </c>
      <c r="B13" s="29">
        <v>45933</v>
      </c>
      <c r="C13" s="24" t="s">
        <v>23</v>
      </c>
      <c r="D13" s="22" cm="1">
        <f t="array" ref="D13">SUM(VALUE(SUBSTITUTE(_xlfn.TEXTAFTER(_xlfn.TEXTSPLIT(C13,CHAR(10)),"-",-1),"km","")))</f>
        <v>159.7</v>
      </c>
      <c r="E13" s="22">
        <f>13+83+10+7+8</f>
        <v>121</v>
      </c>
      <c r="F13" s="25">
        <f t="shared" si="0"/>
        <v>4.12844036697248</v>
      </c>
      <c r="G13" s="25">
        <f t="shared" si="5"/>
        <v>4.5</v>
      </c>
      <c r="H13" s="25">
        <f t="shared" si="1"/>
        <v>659.311926605505</v>
      </c>
      <c r="I13" s="25">
        <f t="shared" si="2"/>
        <v>718.65</v>
      </c>
      <c r="J13" s="25">
        <f t="shared" si="6"/>
        <v>3.5</v>
      </c>
      <c r="K13" s="25">
        <f t="shared" si="3"/>
        <v>558.95</v>
      </c>
      <c r="L13" s="22"/>
      <c r="M13" s="22"/>
      <c r="N13" s="22"/>
      <c r="O13" s="19">
        <v>158.3</v>
      </c>
      <c r="P13" s="18">
        <f t="shared" si="7"/>
        <v>1.39999999999998</v>
      </c>
    </row>
    <row r="14" s="19" customFormat="1" ht="71.25" spans="1:16">
      <c r="A14" s="22">
        <v>13</v>
      </c>
      <c r="B14" s="29">
        <v>45933</v>
      </c>
      <c r="C14" s="24" t="s">
        <v>24</v>
      </c>
      <c r="D14" s="22" cm="1">
        <f t="array" ref="D14">SUM(VALUE(SUBSTITUTE(_xlfn.TEXTAFTER(_xlfn.TEXTSPLIT(C14,CHAR(10)),"-",-1),"km","")))</f>
        <v>261</v>
      </c>
      <c r="E14" s="22">
        <f>98+55</f>
        <v>153</v>
      </c>
      <c r="F14" s="25">
        <f t="shared" si="0"/>
        <v>3.94495412844037</v>
      </c>
      <c r="G14" s="25">
        <f t="shared" si="5"/>
        <v>4.3</v>
      </c>
      <c r="H14" s="25">
        <f t="shared" si="1"/>
        <v>1029.63302752294</v>
      </c>
      <c r="I14" s="25">
        <f t="shared" si="2"/>
        <v>1122.3</v>
      </c>
      <c r="J14" s="25">
        <f t="shared" si="6"/>
        <v>3.5</v>
      </c>
      <c r="K14" s="25">
        <f t="shared" si="3"/>
        <v>913.5</v>
      </c>
      <c r="L14" s="22"/>
      <c r="M14" s="22"/>
      <c r="N14" s="22"/>
      <c r="O14" s="19">
        <v>238</v>
      </c>
      <c r="P14" s="18">
        <f t="shared" si="7"/>
        <v>23</v>
      </c>
    </row>
    <row r="15" s="19" customFormat="1" ht="42.75" spans="1:16">
      <c r="A15" s="22">
        <v>14</v>
      </c>
      <c r="B15" s="29">
        <v>45933</v>
      </c>
      <c r="C15" s="24" t="s">
        <v>25</v>
      </c>
      <c r="D15" s="22" cm="1">
        <f t="array" ref="D15">SUM(VALUE(SUBSTITUTE(_xlfn.TEXTAFTER(_xlfn.TEXTSPLIT(C15,CHAR(10)),"-",-1),"km","")))</f>
        <v>165.7</v>
      </c>
      <c r="E15" s="22">
        <f>184+42+50</f>
        <v>276</v>
      </c>
      <c r="F15" s="25">
        <f t="shared" si="0"/>
        <v>4.12844036697248</v>
      </c>
      <c r="G15" s="25">
        <f t="shared" si="5"/>
        <v>4.5</v>
      </c>
      <c r="H15" s="25">
        <f t="shared" si="1"/>
        <v>684.08256880734</v>
      </c>
      <c r="I15" s="25">
        <f t="shared" si="2"/>
        <v>745.65</v>
      </c>
      <c r="J15" s="25">
        <f t="shared" si="6"/>
        <v>3.5</v>
      </c>
      <c r="K15" s="25">
        <f t="shared" si="3"/>
        <v>579.95</v>
      </c>
      <c r="L15" s="22"/>
      <c r="M15" s="22"/>
      <c r="N15" s="22"/>
      <c r="O15" s="19">
        <v>165.7</v>
      </c>
      <c r="P15" s="18">
        <f t="shared" si="7"/>
        <v>0</v>
      </c>
    </row>
    <row r="16" s="19" customFormat="1" ht="57" spans="1:16">
      <c r="A16" s="22">
        <v>15</v>
      </c>
      <c r="B16" s="29">
        <v>45933</v>
      </c>
      <c r="C16" s="24" t="s">
        <v>26</v>
      </c>
      <c r="D16" s="22" cm="1">
        <f t="array" ref="D16">SUM(VALUE(SUBSTITUTE(_xlfn.TEXTAFTER(_xlfn.TEXTSPLIT(C16,CHAR(10)),"-",-1),"km","")))</f>
        <v>149</v>
      </c>
      <c r="E16" s="22">
        <f>180+61+46</f>
        <v>287</v>
      </c>
      <c r="F16" s="25">
        <f t="shared" si="0"/>
        <v>4.12844036697248</v>
      </c>
      <c r="G16" s="25">
        <f t="shared" si="5"/>
        <v>4.5</v>
      </c>
      <c r="H16" s="25">
        <f t="shared" si="1"/>
        <v>615.1376146789</v>
      </c>
      <c r="I16" s="25">
        <f t="shared" si="2"/>
        <v>670.5</v>
      </c>
      <c r="J16" s="25">
        <f t="shared" si="6"/>
        <v>3.5</v>
      </c>
      <c r="K16" s="25">
        <f t="shared" si="3"/>
        <v>521.5</v>
      </c>
      <c r="L16" s="22"/>
      <c r="M16" s="22"/>
      <c r="N16" s="22"/>
      <c r="O16" s="19">
        <v>129</v>
      </c>
      <c r="P16" s="18">
        <f t="shared" si="7"/>
        <v>20</v>
      </c>
    </row>
    <row r="17" s="19" customFormat="1" ht="57" spans="1:16">
      <c r="A17" s="22">
        <v>16</v>
      </c>
      <c r="B17" s="29">
        <v>45933</v>
      </c>
      <c r="C17" s="24" t="s">
        <v>27</v>
      </c>
      <c r="D17" s="22" cm="1">
        <f t="array" ref="D17">SUM(VALUE(SUBSTITUTE(_xlfn.TEXTAFTER(_xlfn.TEXTSPLIT(C17,CHAR(10)),"-",-1),"km","")))</f>
        <v>244</v>
      </c>
      <c r="E17" s="22">
        <f>172+60+43</f>
        <v>275</v>
      </c>
      <c r="F17" s="25">
        <f t="shared" si="0"/>
        <v>3.94495412844037</v>
      </c>
      <c r="G17" s="25">
        <f t="shared" si="5"/>
        <v>4.3</v>
      </c>
      <c r="H17" s="25">
        <f t="shared" si="1"/>
        <v>962.56880733945</v>
      </c>
      <c r="I17" s="25">
        <f t="shared" si="2"/>
        <v>1049.2</v>
      </c>
      <c r="J17" s="25">
        <f t="shared" si="6"/>
        <v>3.5</v>
      </c>
      <c r="K17" s="25">
        <f t="shared" si="3"/>
        <v>854</v>
      </c>
      <c r="L17" s="22"/>
      <c r="M17" s="22"/>
      <c r="N17" s="22"/>
      <c r="O17" s="19">
        <v>243</v>
      </c>
      <c r="P17" s="18">
        <f t="shared" si="7"/>
        <v>1</v>
      </c>
    </row>
    <row r="18" s="19" customFormat="1" ht="85.5" spans="1:16">
      <c r="A18" s="22">
        <v>17</v>
      </c>
      <c r="B18" s="29">
        <v>45934</v>
      </c>
      <c r="C18" s="24" t="s">
        <v>28</v>
      </c>
      <c r="D18" s="22" cm="1">
        <f t="array" ref="D18">SUM(VALUE(SUBSTITUTE(_xlfn.TEXTAFTER(_xlfn.TEXTSPLIT(C18,CHAR(10)),"-",-1),"km","")))</f>
        <v>355</v>
      </c>
      <c r="E18" s="22">
        <f>18+100+10+7</f>
        <v>135</v>
      </c>
      <c r="F18" s="25">
        <f t="shared" si="0"/>
        <v>3.76146788990826</v>
      </c>
      <c r="G18" s="25">
        <f t="shared" si="5"/>
        <v>4.1</v>
      </c>
      <c r="H18" s="25">
        <f t="shared" si="1"/>
        <v>1335.32110091743</v>
      </c>
      <c r="I18" s="25">
        <f t="shared" si="2"/>
        <v>1455.5</v>
      </c>
      <c r="J18" s="25">
        <f t="shared" si="6"/>
        <v>3.2</v>
      </c>
      <c r="K18" s="25">
        <f t="shared" si="3"/>
        <v>1136</v>
      </c>
      <c r="L18" s="22"/>
      <c r="M18" s="22"/>
      <c r="N18" s="22"/>
      <c r="O18" s="19">
        <v>330.1</v>
      </c>
      <c r="P18" s="18">
        <f t="shared" si="7"/>
        <v>24.9</v>
      </c>
    </row>
    <row r="19" s="19" customFormat="1" ht="42.75" spans="1:16">
      <c r="A19" s="22">
        <v>18</v>
      </c>
      <c r="B19" s="29">
        <v>45934</v>
      </c>
      <c r="C19" s="24" t="s">
        <v>29</v>
      </c>
      <c r="D19" s="22" cm="1">
        <f t="array" ref="D19">SUM(VALUE(SUBSTITUTE(_xlfn.TEXTAFTER(_xlfn.TEXTSPLIT(C19,CHAR(10)),"-",-1),"km","")))</f>
        <v>298</v>
      </c>
      <c r="E19" s="22">
        <f>98+10+62+17</f>
        <v>187</v>
      </c>
      <c r="F19" s="25">
        <f t="shared" si="0"/>
        <v>3.94495412844037</v>
      </c>
      <c r="G19" s="25">
        <f t="shared" si="5"/>
        <v>4.3</v>
      </c>
      <c r="H19" s="25">
        <f t="shared" si="1"/>
        <v>1175.59633027523</v>
      </c>
      <c r="I19" s="25">
        <f t="shared" si="2"/>
        <v>1281.4</v>
      </c>
      <c r="J19" s="25">
        <f t="shared" si="6"/>
        <v>3.5</v>
      </c>
      <c r="K19" s="25">
        <f t="shared" si="3"/>
        <v>1043</v>
      </c>
      <c r="L19" s="22"/>
      <c r="M19" s="22"/>
      <c r="N19" s="22"/>
      <c r="O19" s="19">
        <v>299</v>
      </c>
      <c r="P19" s="18">
        <f t="shared" si="7"/>
        <v>-1</v>
      </c>
    </row>
    <row r="20" s="19" customFormat="1" ht="57" spans="1:16">
      <c r="A20" s="22">
        <v>19</v>
      </c>
      <c r="B20" s="29">
        <v>45934</v>
      </c>
      <c r="C20" s="24" t="s">
        <v>30</v>
      </c>
      <c r="D20" s="22" cm="1">
        <f t="array" ref="D20">SUM(VALUE(SUBSTITUTE(_xlfn.TEXTAFTER(_xlfn.TEXTSPLIT(C20,CHAR(10)),"-",-1),"km","")))</f>
        <v>293.8</v>
      </c>
      <c r="E20" s="22">
        <f>84+3+89</f>
        <v>176</v>
      </c>
      <c r="F20" s="25">
        <f t="shared" si="0"/>
        <v>3.94495412844037</v>
      </c>
      <c r="G20" s="25">
        <f t="shared" si="5"/>
        <v>4.3</v>
      </c>
      <c r="H20" s="25">
        <f t="shared" si="1"/>
        <v>1159.02752293578</v>
      </c>
      <c r="I20" s="25">
        <f t="shared" si="2"/>
        <v>1263.34</v>
      </c>
      <c r="J20" s="25">
        <f t="shared" si="6"/>
        <v>3.5</v>
      </c>
      <c r="K20" s="25">
        <f t="shared" si="3"/>
        <v>1028.3</v>
      </c>
      <c r="L20" s="22"/>
      <c r="M20" s="22"/>
      <c r="N20" s="22"/>
      <c r="O20" s="19">
        <v>291.7</v>
      </c>
      <c r="P20" s="18">
        <f t="shared" si="7"/>
        <v>2.10000000000002</v>
      </c>
    </row>
    <row r="21" s="19" customFormat="1" ht="71.25" spans="1:16">
      <c r="A21" s="22">
        <v>20</v>
      </c>
      <c r="B21" s="29">
        <v>45934</v>
      </c>
      <c r="C21" s="24" t="s">
        <v>31</v>
      </c>
      <c r="D21" s="22" cm="1">
        <f t="array" ref="D21">SUM(VALUE(SUBSTITUTE(_xlfn.TEXTAFTER(_xlfn.TEXTSPLIT(C21,CHAR(10)),"-",-1),"km","")))</f>
        <v>582</v>
      </c>
      <c r="E21" s="22">
        <f>84+3+89</f>
        <v>176</v>
      </c>
      <c r="F21" s="25">
        <f t="shared" si="0"/>
        <v>3.76146788990826</v>
      </c>
      <c r="G21" s="25">
        <f t="shared" si="5"/>
        <v>4.1</v>
      </c>
      <c r="H21" s="25">
        <f t="shared" si="1"/>
        <v>2189.17431192661</v>
      </c>
      <c r="I21" s="25">
        <f t="shared" si="2"/>
        <v>2386.2</v>
      </c>
      <c r="J21" s="25">
        <f t="shared" si="6"/>
        <v>3.2</v>
      </c>
      <c r="K21" s="25">
        <f t="shared" si="3"/>
        <v>1862.4</v>
      </c>
      <c r="L21" s="22"/>
      <c r="M21" s="22"/>
      <c r="N21" s="22"/>
      <c r="O21" s="19">
        <v>583</v>
      </c>
      <c r="P21" s="18">
        <f t="shared" si="7"/>
        <v>-1</v>
      </c>
    </row>
    <row r="22" s="19" customFormat="1" ht="71.25" spans="1:16">
      <c r="A22" s="22">
        <v>21</v>
      </c>
      <c r="B22" s="29">
        <v>45934</v>
      </c>
      <c r="C22" s="24" t="s">
        <v>32</v>
      </c>
      <c r="D22" s="22" cm="1">
        <f t="array" ref="D22">SUM(VALUE(SUBSTITUTE(_xlfn.TEXTAFTER(_xlfn.TEXTSPLIT(C22,CHAR(10)),"-",-1),"km","")))</f>
        <v>483</v>
      </c>
      <c r="E22" s="22">
        <f>98+116+34+42+50</f>
        <v>340</v>
      </c>
      <c r="F22" s="25">
        <f t="shared" si="0"/>
        <v>3.76146788990826</v>
      </c>
      <c r="G22" s="25">
        <f t="shared" si="5"/>
        <v>4.1</v>
      </c>
      <c r="H22" s="25">
        <f t="shared" si="1"/>
        <v>1816.78899082569</v>
      </c>
      <c r="I22" s="25">
        <f t="shared" si="2"/>
        <v>1980.3</v>
      </c>
      <c r="J22" s="25">
        <f t="shared" si="6"/>
        <v>3.2</v>
      </c>
      <c r="K22" s="25">
        <f t="shared" si="3"/>
        <v>1545.6</v>
      </c>
      <c r="L22" s="22"/>
      <c r="M22" s="22"/>
      <c r="N22" s="22"/>
      <c r="O22" s="19">
        <v>467</v>
      </c>
      <c r="P22" s="18">
        <f t="shared" si="7"/>
        <v>16</v>
      </c>
    </row>
    <row r="23" s="19" customFormat="1" ht="57" spans="1:16">
      <c r="A23" s="22">
        <v>22</v>
      </c>
      <c r="B23" s="29">
        <v>45935</v>
      </c>
      <c r="C23" s="24" t="s">
        <v>33</v>
      </c>
      <c r="D23" s="22" cm="1">
        <f t="array" ref="D23">SUM(VALUE(SUBSTITUTE(_xlfn.TEXTAFTER(_xlfn.TEXTSPLIT(C23,CHAR(10)),"-",-1),"km","")))</f>
        <v>155</v>
      </c>
      <c r="E23" s="22">
        <f>120+52+84+43</f>
        <v>299</v>
      </c>
      <c r="F23" s="25">
        <f t="shared" si="0"/>
        <v>4.12844036697248</v>
      </c>
      <c r="G23" s="25">
        <f t="shared" si="5"/>
        <v>4.5</v>
      </c>
      <c r="H23" s="25">
        <f t="shared" si="1"/>
        <v>639.908256880734</v>
      </c>
      <c r="I23" s="25">
        <f t="shared" si="2"/>
        <v>697.5</v>
      </c>
      <c r="J23" s="25">
        <f t="shared" si="6"/>
        <v>3.5</v>
      </c>
      <c r="K23" s="25">
        <f t="shared" si="3"/>
        <v>542.5</v>
      </c>
      <c r="L23" s="22"/>
      <c r="M23" s="22"/>
      <c r="N23" s="22"/>
      <c r="O23" s="19">
        <v>155</v>
      </c>
      <c r="P23" s="18">
        <f t="shared" si="7"/>
        <v>0</v>
      </c>
    </row>
    <row r="24" s="19" customFormat="1" ht="57" spans="1:16">
      <c r="A24" s="22">
        <v>23</v>
      </c>
      <c r="B24" s="29">
        <v>45935</v>
      </c>
      <c r="C24" s="24" t="s">
        <v>34</v>
      </c>
      <c r="D24" s="22" cm="1">
        <f t="array" ref="D24">SUM(VALUE(SUBSTITUTE(_xlfn.TEXTAFTER(_xlfn.TEXTSPLIT(C24,CHAR(10)),"-",-1),"km","")))</f>
        <v>130.9</v>
      </c>
      <c r="E24" s="22">
        <f>120+52+84+43</f>
        <v>299</v>
      </c>
      <c r="F24" s="25">
        <f t="shared" si="0"/>
        <v>4.12844036697248</v>
      </c>
      <c r="G24" s="25">
        <f t="shared" si="5"/>
        <v>4.5</v>
      </c>
      <c r="H24" s="25">
        <f t="shared" si="1"/>
        <v>540.412844036698</v>
      </c>
      <c r="I24" s="25">
        <f t="shared" si="2"/>
        <v>589.05</v>
      </c>
      <c r="J24" s="25">
        <f t="shared" si="6"/>
        <v>3.5</v>
      </c>
      <c r="K24" s="25">
        <f t="shared" si="3"/>
        <v>458.15</v>
      </c>
      <c r="L24" s="22"/>
      <c r="M24" s="22"/>
      <c r="N24" s="22"/>
      <c r="O24" s="19">
        <v>122</v>
      </c>
      <c r="P24" s="18">
        <f t="shared" si="7"/>
        <v>8.90000000000001</v>
      </c>
    </row>
    <row r="25" s="19" customFormat="1" ht="71.25" spans="1:16">
      <c r="A25" s="22">
        <v>24</v>
      </c>
      <c r="B25" s="29">
        <v>45936</v>
      </c>
      <c r="C25" s="24" t="s">
        <v>35</v>
      </c>
      <c r="D25" s="22" cm="1">
        <f t="array" ref="D25">SUM(VALUE(SUBSTITUTE(_xlfn.TEXTAFTER(_xlfn.TEXTSPLIT(C25,CHAR(10)),"-",-1),"km","")))</f>
        <v>273.2</v>
      </c>
      <c r="E25" s="22">
        <f>120+52+84+43</f>
        <v>299</v>
      </c>
      <c r="F25" s="25">
        <f t="shared" si="0"/>
        <v>3.94495412844037</v>
      </c>
      <c r="G25" s="25">
        <f t="shared" si="5"/>
        <v>4.3</v>
      </c>
      <c r="H25" s="25">
        <f t="shared" si="1"/>
        <v>1077.76146788991</v>
      </c>
      <c r="I25" s="25">
        <f t="shared" si="2"/>
        <v>1174.76</v>
      </c>
      <c r="J25" s="25">
        <f t="shared" si="6"/>
        <v>3.5</v>
      </c>
      <c r="K25" s="25">
        <f t="shared" si="3"/>
        <v>956.2</v>
      </c>
      <c r="L25" s="22"/>
      <c r="M25" s="22"/>
      <c r="N25" s="22"/>
      <c r="O25" s="19">
        <v>264</v>
      </c>
      <c r="P25" s="18">
        <f t="shared" si="7"/>
        <v>9.19999999999999</v>
      </c>
    </row>
    <row r="26" s="19" customFormat="1" ht="85.5" spans="1:16">
      <c r="A26" s="22">
        <v>25</v>
      </c>
      <c r="B26" s="29">
        <v>45936</v>
      </c>
      <c r="C26" s="24" t="s">
        <v>36</v>
      </c>
      <c r="D26" s="22" cm="1">
        <f t="array" ref="D26">SUM(VALUE(SUBSTITUTE(_xlfn.TEXTAFTER(_xlfn.TEXTSPLIT(C26,CHAR(10)),"-",-1),"km","")))</f>
        <v>171.4</v>
      </c>
      <c r="E26" s="22">
        <f>86+10+12+10+8</f>
        <v>126</v>
      </c>
      <c r="F26" s="25">
        <f t="shared" si="0"/>
        <v>4.12844036697248</v>
      </c>
      <c r="G26" s="25">
        <f t="shared" si="5"/>
        <v>4.5</v>
      </c>
      <c r="H26" s="25">
        <f t="shared" si="1"/>
        <v>707.614678899083</v>
      </c>
      <c r="I26" s="25">
        <f t="shared" si="2"/>
        <v>771.3</v>
      </c>
      <c r="J26" s="25">
        <f t="shared" si="6"/>
        <v>3.5</v>
      </c>
      <c r="K26" s="25">
        <f t="shared" si="3"/>
        <v>599.9</v>
      </c>
      <c r="L26" s="22"/>
      <c r="M26" s="22"/>
      <c r="N26" s="22"/>
      <c r="O26" s="19">
        <v>174.4</v>
      </c>
      <c r="P26" s="18">
        <f t="shared" si="7"/>
        <v>-3</v>
      </c>
    </row>
    <row r="27" s="19" customFormat="1" ht="57" spans="1:16">
      <c r="A27" s="22">
        <v>26</v>
      </c>
      <c r="B27" s="29">
        <v>45936</v>
      </c>
      <c r="C27" s="24" t="s">
        <v>37</v>
      </c>
      <c r="D27" s="22" cm="1">
        <f t="array" ref="D27">SUM(VALUE(SUBSTITUTE(_xlfn.TEXTAFTER(_xlfn.TEXTSPLIT(C27,CHAR(10)),"-",-1),"km","")))</f>
        <v>157.3</v>
      </c>
      <c r="E27" s="22">
        <f>86+10+12+10+8</f>
        <v>126</v>
      </c>
      <c r="F27" s="25">
        <f t="shared" si="0"/>
        <v>4.12844036697248</v>
      </c>
      <c r="G27" s="25">
        <f t="shared" si="5"/>
        <v>4.5</v>
      </c>
      <c r="H27" s="25">
        <f t="shared" si="1"/>
        <v>649.403669724771</v>
      </c>
      <c r="I27" s="25">
        <f t="shared" si="2"/>
        <v>707.85</v>
      </c>
      <c r="J27" s="25">
        <f t="shared" si="6"/>
        <v>3.5</v>
      </c>
      <c r="K27" s="25">
        <f t="shared" si="3"/>
        <v>550.55</v>
      </c>
      <c r="L27" s="22"/>
      <c r="M27" s="22"/>
      <c r="N27" s="22"/>
      <c r="O27" s="19">
        <v>165.4</v>
      </c>
      <c r="P27" s="18">
        <f t="shared" si="7"/>
        <v>-8.09999999999999</v>
      </c>
    </row>
    <row r="28" s="19" customFormat="1" ht="42.75" spans="1:16">
      <c r="A28" s="22">
        <v>27</v>
      </c>
      <c r="B28" s="29">
        <v>45936</v>
      </c>
      <c r="C28" s="24" t="s">
        <v>38</v>
      </c>
      <c r="D28" s="22" cm="1">
        <f t="array" ref="D28">SUM(VALUE(SUBSTITUTE(_xlfn.TEXTAFTER(_xlfn.TEXTSPLIT(C28,CHAR(10)),"-",-1),"km","")))</f>
        <v>167</v>
      </c>
      <c r="E28" s="22">
        <f>86+10+12+10+8</f>
        <v>126</v>
      </c>
      <c r="F28" s="25">
        <f t="shared" si="0"/>
        <v>4.12844036697248</v>
      </c>
      <c r="G28" s="25">
        <f t="shared" si="5"/>
        <v>4.5</v>
      </c>
      <c r="H28" s="25">
        <f t="shared" si="1"/>
        <v>689.449541284404</v>
      </c>
      <c r="I28" s="25">
        <f t="shared" si="2"/>
        <v>751.5</v>
      </c>
      <c r="J28" s="25">
        <f t="shared" si="6"/>
        <v>3.5</v>
      </c>
      <c r="K28" s="25">
        <f t="shared" si="3"/>
        <v>584.5</v>
      </c>
      <c r="L28" s="22"/>
      <c r="M28" s="22"/>
      <c r="N28" s="22"/>
      <c r="O28" s="19">
        <v>158</v>
      </c>
      <c r="P28" s="18">
        <f t="shared" si="7"/>
        <v>9</v>
      </c>
    </row>
    <row r="29" s="19" customFormat="1" ht="42.75" spans="1:16">
      <c r="A29" s="22">
        <v>28</v>
      </c>
      <c r="B29" s="29">
        <v>45936</v>
      </c>
      <c r="C29" s="24" t="s">
        <v>39</v>
      </c>
      <c r="D29" s="22" cm="1">
        <f t="array" ref="D29">SUM(VALUE(SUBSTITUTE(_xlfn.TEXTAFTER(_xlfn.TEXTSPLIT(C29,CHAR(10)),"-",-1),"km","")))</f>
        <v>229</v>
      </c>
      <c r="E29" s="22">
        <f>86+10+12+10+8</f>
        <v>126</v>
      </c>
      <c r="F29" s="25">
        <f t="shared" si="0"/>
        <v>3.94495412844037</v>
      </c>
      <c r="G29" s="25">
        <f t="shared" si="5"/>
        <v>4.3</v>
      </c>
      <c r="H29" s="25">
        <f t="shared" si="1"/>
        <v>903.394495412845</v>
      </c>
      <c r="I29" s="25">
        <f t="shared" si="2"/>
        <v>984.7</v>
      </c>
      <c r="J29" s="25">
        <f t="shared" si="6"/>
        <v>3.5</v>
      </c>
      <c r="K29" s="25">
        <f t="shared" si="3"/>
        <v>801.5</v>
      </c>
      <c r="L29" s="22"/>
      <c r="M29" s="22"/>
      <c r="N29" s="22"/>
      <c r="O29" s="19">
        <v>227</v>
      </c>
      <c r="P29" s="18">
        <f t="shared" si="7"/>
        <v>2</v>
      </c>
    </row>
    <row r="30" s="19" customFormat="1" ht="57" spans="1:16">
      <c r="A30" s="22">
        <v>29</v>
      </c>
      <c r="B30" s="29">
        <v>45936</v>
      </c>
      <c r="C30" s="24" t="s">
        <v>40</v>
      </c>
      <c r="D30" s="22" cm="1">
        <f t="array" ref="D30">SUM(VALUE(SUBSTITUTE(_xlfn.TEXTAFTER(_xlfn.TEXTSPLIT(C30,CHAR(10)),"-",-1),"km","")))</f>
        <v>167.4</v>
      </c>
      <c r="E30" s="22">
        <f>86+10+12+10+8</f>
        <v>126</v>
      </c>
      <c r="F30" s="25">
        <f t="shared" si="0"/>
        <v>4.12844036697248</v>
      </c>
      <c r="G30" s="25">
        <f t="shared" si="5"/>
        <v>4.5</v>
      </c>
      <c r="H30" s="25">
        <f t="shared" si="1"/>
        <v>691.100917431193</v>
      </c>
      <c r="I30" s="25">
        <f t="shared" si="2"/>
        <v>753.3</v>
      </c>
      <c r="J30" s="25">
        <f t="shared" si="6"/>
        <v>3.5</v>
      </c>
      <c r="K30" s="25">
        <f t="shared" si="3"/>
        <v>585.9</v>
      </c>
      <c r="L30" s="22"/>
      <c r="M30" s="22"/>
      <c r="N30" s="22"/>
      <c r="O30" s="19">
        <v>167.2</v>
      </c>
      <c r="P30" s="18">
        <f t="shared" si="7"/>
        <v>0.200000000000017</v>
      </c>
    </row>
    <row r="31" s="18" customFormat="1" ht="71.25" spans="1:16">
      <c r="A31" s="22">
        <v>30</v>
      </c>
      <c r="B31" s="29">
        <v>45937</v>
      </c>
      <c r="C31" s="24" t="s">
        <v>41</v>
      </c>
      <c r="D31" s="22" cm="1">
        <f t="array" ref="D31">SUM(VALUE(SUBSTITUTE(_xlfn.TEXTAFTER(_xlfn.TEXTSPLIT(C31,CHAR(10)),"-",-1),"km","")))</f>
        <v>343</v>
      </c>
      <c r="E31" s="22">
        <f>167+33+106</f>
        <v>306</v>
      </c>
      <c r="F31" s="25">
        <f t="shared" si="0"/>
        <v>3.76146788990826</v>
      </c>
      <c r="G31" s="25">
        <f t="shared" si="5"/>
        <v>4.1</v>
      </c>
      <c r="H31" s="25">
        <f t="shared" si="1"/>
        <v>1290.18348623853</v>
      </c>
      <c r="I31" s="25">
        <f t="shared" si="2"/>
        <v>1406.3</v>
      </c>
      <c r="J31" s="25">
        <f t="shared" si="6"/>
        <v>3.2</v>
      </c>
      <c r="K31" s="25">
        <f t="shared" si="3"/>
        <v>1097.6</v>
      </c>
      <c r="L31" s="22"/>
      <c r="M31" s="22"/>
      <c r="N31" s="22"/>
      <c r="O31" s="18">
        <v>346</v>
      </c>
      <c r="P31" s="18">
        <f t="shared" si="7"/>
        <v>-3</v>
      </c>
    </row>
    <row r="32" s="18" customFormat="1" ht="28.5" spans="1:16">
      <c r="A32" s="22">
        <v>31</v>
      </c>
      <c r="B32" s="29">
        <v>45937</v>
      </c>
      <c r="C32" s="24" t="s">
        <v>42</v>
      </c>
      <c r="D32" s="22" cm="1">
        <f t="array" ref="D32">SUM(VALUE(SUBSTITUTE(_xlfn.TEXTAFTER(_xlfn.TEXTSPLIT(C32,CHAR(10)),"-",-1),"km","")))</f>
        <v>301</v>
      </c>
      <c r="E32" s="22">
        <f>127+59+16+9.5</f>
        <v>211.5</v>
      </c>
      <c r="F32" s="25">
        <f t="shared" si="0"/>
        <v>3.76146788990826</v>
      </c>
      <c r="G32" s="25">
        <f t="shared" si="5"/>
        <v>4.1</v>
      </c>
      <c r="H32" s="25">
        <f t="shared" si="1"/>
        <v>1132.20183486239</v>
      </c>
      <c r="I32" s="25">
        <f t="shared" si="2"/>
        <v>1234.1</v>
      </c>
      <c r="J32" s="25">
        <f t="shared" si="6"/>
        <v>3.2</v>
      </c>
      <c r="K32" s="25">
        <f t="shared" si="3"/>
        <v>963.2</v>
      </c>
      <c r="L32" s="22"/>
      <c r="M32" s="25"/>
      <c r="N32" s="22"/>
      <c r="O32" s="18">
        <v>301</v>
      </c>
      <c r="P32" s="18">
        <f t="shared" si="7"/>
        <v>0</v>
      </c>
    </row>
    <row r="33" s="18" customFormat="1" ht="42.75" spans="1:16">
      <c r="A33" s="22">
        <v>32</v>
      </c>
      <c r="B33" s="29">
        <v>45937</v>
      </c>
      <c r="C33" s="24" t="s">
        <v>43</v>
      </c>
      <c r="D33" s="22" cm="1">
        <f t="array" ref="D33">SUM(VALUE(SUBSTITUTE(_xlfn.TEXTAFTER(_xlfn.TEXTSPLIT(C33,CHAR(10)),"-",-1),"km","")))</f>
        <v>244.8</v>
      </c>
      <c r="E33" s="22">
        <f>98+116+34+43</f>
        <v>291</v>
      </c>
      <c r="F33" s="25">
        <f t="shared" si="0"/>
        <v>3.94495412844037</v>
      </c>
      <c r="G33" s="25">
        <f t="shared" si="5"/>
        <v>4.3</v>
      </c>
      <c r="H33" s="25">
        <f t="shared" si="1"/>
        <v>965.724770642203</v>
      </c>
      <c r="I33" s="25">
        <f t="shared" si="2"/>
        <v>1052.64</v>
      </c>
      <c r="J33" s="25">
        <f t="shared" si="6"/>
        <v>3.5</v>
      </c>
      <c r="K33" s="25">
        <f t="shared" si="3"/>
        <v>856.8</v>
      </c>
      <c r="L33" s="22"/>
      <c r="M33" s="22"/>
      <c r="N33" s="25"/>
      <c r="O33" s="18">
        <v>244.7</v>
      </c>
      <c r="P33" s="18">
        <f t="shared" si="7"/>
        <v>0.100000000000023</v>
      </c>
    </row>
    <row r="34" s="18" customFormat="1" ht="42.75" spans="1:16">
      <c r="A34" s="22">
        <v>33</v>
      </c>
      <c r="B34" s="29">
        <v>45937</v>
      </c>
      <c r="C34" s="24" t="s">
        <v>44</v>
      </c>
      <c r="D34" s="22" cm="1">
        <f t="array" ref="D34">SUM(VALUE(SUBSTITUTE(_xlfn.TEXTAFTER(_xlfn.TEXTSPLIT(C34,CHAR(10)),"-",-1),"km","")))</f>
        <v>313</v>
      </c>
      <c r="E34" s="22">
        <f>98+116+34+43</f>
        <v>291</v>
      </c>
      <c r="F34" s="25">
        <f t="shared" si="0"/>
        <v>3.76146788990826</v>
      </c>
      <c r="G34" s="25">
        <f t="shared" si="5"/>
        <v>4.1</v>
      </c>
      <c r="H34" s="25">
        <f t="shared" si="1"/>
        <v>1177.33944954129</v>
      </c>
      <c r="I34" s="25">
        <f t="shared" si="2"/>
        <v>1283.3</v>
      </c>
      <c r="J34" s="25">
        <f t="shared" si="6"/>
        <v>3.2</v>
      </c>
      <c r="K34" s="25">
        <f t="shared" si="3"/>
        <v>1001.6</v>
      </c>
      <c r="L34" s="22"/>
      <c r="M34" s="22"/>
      <c r="N34" s="22"/>
      <c r="O34" s="18">
        <v>311</v>
      </c>
      <c r="P34" s="18">
        <f t="shared" si="7"/>
        <v>2</v>
      </c>
    </row>
    <row r="35" s="18" customFormat="1" ht="57" spans="1:16">
      <c r="A35" s="22">
        <v>34</v>
      </c>
      <c r="B35" s="29">
        <v>45937</v>
      </c>
      <c r="C35" s="24" t="s">
        <v>45</v>
      </c>
      <c r="D35" s="22" cm="1">
        <f t="array" ref="D35">SUM(VALUE(SUBSTITUTE(_xlfn.TEXTAFTER(_xlfn.TEXTSPLIT(C35,CHAR(10)),"-",-1),"km","")))</f>
        <v>403</v>
      </c>
      <c r="E35" s="22">
        <f>98+116+34+43</f>
        <v>291</v>
      </c>
      <c r="F35" s="25">
        <f t="shared" si="0"/>
        <v>3.76146788990826</v>
      </c>
      <c r="G35" s="25">
        <f t="shared" si="5"/>
        <v>4.1</v>
      </c>
      <c r="H35" s="25">
        <f t="shared" si="1"/>
        <v>1515.87155963303</v>
      </c>
      <c r="I35" s="25">
        <f t="shared" si="2"/>
        <v>1652.3</v>
      </c>
      <c r="J35" s="25">
        <f t="shared" si="6"/>
        <v>3.2</v>
      </c>
      <c r="K35" s="25">
        <f t="shared" si="3"/>
        <v>1289.6</v>
      </c>
      <c r="L35" s="22"/>
      <c r="M35" s="22"/>
      <c r="N35" s="22"/>
      <c r="O35" s="18">
        <v>404</v>
      </c>
      <c r="P35" s="18">
        <f t="shared" si="7"/>
        <v>-1</v>
      </c>
    </row>
    <row r="36" s="18" customFormat="1" ht="57" spans="1:16">
      <c r="A36" s="22">
        <v>35</v>
      </c>
      <c r="B36" s="29">
        <v>45937</v>
      </c>
      <c r="C36" s="24" t="s">
        <v>46</v>
      </c>
      <c r="D36" s="22" cm="1">
        <f t="array" ref="D36">SUM(VALUE(SUBSTITUTE(_xlfn.TEXTAFTER(_xlfn.TEXTSPLIT(C36,CHAR(10)),"-",-1),"km","")))</f>
        <v>579</v>
      </c>
      <c r="E36" s="22">
        <f>98+116+34+43</f>
        <v>291</v>
      </c>
      <c r="F36" s="25">
        <f t="shared" si="0"/>
        <v>3.76146788990826</v>
      </c>
      <c r="G36" s="25">
        <f t="shared" si="5"/>
        <v>4.1</v>
      </c>
      <c r="H36" s="25">
        <f t="shared" si="1"/>
        <v>2177.88990825688</v>
      </c>
      <c r="I36" s="25">
        <f t="shared" si="2"/>
        <v>2373.9</v>
      </c>
      <c r="J36" s="25">
        <f t="shared" si="6"/>
        <v>3.2</v>
      </c>
      <c r="K36" s="25">
        <f t="shared" si="3"/>
        <v>1852.8</v>
      </c>
      <c r="L36" s="22"/>
      <c r="M36" s="22"/>
      <c r="N36" s="22"/>
      <c r="O36" s="18">
        <v>579</v>
      </c>
      <c r="P36" s="18">
        <f t="shared" si="7"/>
        <v>0</v>
      </c>
    </row>
    <row r="37" s="18" customFormat="1" ht="42.75" spans="1:16">
      <c r="A37" s="22">
        <v>36</v>
      </c>
      <c r="B37" s="29">
        <v>45937</v>
      </c>
      <c r="C37" s="24" t="s">
        <v>47</v>
      </c>
      <c r="D37" s="22" cm="1">
        <f t="array" ref="D37">SUM(VALUE(SUBSTITUTE(_xlfn.TEXTAFTER(_xlfn.TEXTSPLIT(C37,CHAR(10)),"-",-1),"km","")))</f>
        <v>383</v>
      </c>
      <c r="E37" s="22">
        <f>98+116+34+43</f>
        <v>291</v>
      </c>
      <c r="F37" s="25">
        <f t="shared" si="0"/>
        <v>3.76146788990826</v>
      </c>
      <c r="G37" s="25">
        <f t="shared" si="5"/>
        <v>4.1</v>
      </c>
      <c r="H37" s="25">
        <f t="shared" si="1"/>
        <v>1440.64220183486</v>
      </c>
      <c r="I37" s="25">
        <f t="shared" si="2"/>
        <v>1570.3</v>
      </c>
      <c r="J37" s="25">
        <f t="shared" si="6"/>
        <v>3.2</v>
      </c>
      <c r="K37" s="25">
        <f t="shared" si="3"/>
        <v>1225.6</v>
      </c>
      <c r="L37" s="22"/>
      <c r="M37" s="22"/>
      <c r="N37" s="22"/>
      <c r="O37" s="18">
        <v>377</v>
      </c>
      <c r="P37" s="18">
        <f t="shared" si="7"/>
        <v>6</v>
      </c>
    </row>
    <row r="38" s="18" customFormat="1" spans="1:16">
      <c r="A38" s="22"/>
      <c r="B38" s="29">
        <v>45937</v>
      </c>
      <c r="C38" s="24" t="s">
        <v>48</v>
      </c>
      <c r="D38" s="22" cm="1">
        <f t="array" ref="D38">SUM(VALUE(SUBSTITUTE(_xlfn.TEXTAFTER(_xlfn.TEXTSPLIT(C38,CHAR(10)),"-",-1),"km","")))</f>
        <v>113</v>
      </c>
      <c r="E38" s="22"/>
      <c r="F38" s="25"/>
      <c r="G38" s="25"/>
      <c r="H38" s="25"/>
      <c r="I38" s="25"/>
      <c r="J38" s="25"/>
      <c r="K38" s="25"/>
      <c r="L38" s="22"/>
      <c r="M38" s="22"/>
      <c r="N38" s="22"/>
      <c r="O38" s="18">
        <v>117</v>
      </c>
      <c r="P38" s="18">
        <f t="shared" si="7"/>
        <v>-4</v>
      </c>
    </row>
    <row r="39" s="18" customFormat="1" spans="1:16">
      <c r="A39" s="22"/>
      <c r="B39" s="29">
        <v>45937</v>
      </c>
      <c r="C39" s="24" t="s">
        <v>48</v>
      </c>
      <c r="D39" s="22" cm="1">
        <f t="array" ref="D39">SUM(VALUE(SUBSTITUTE(_xlfn.TEXTAFTER(_xlfn.TEXTSPLIT(C39,CHAR(10)),"-",-1),"km","")))</f>
        <v>113</v>
      </c>
      <c r="E39" s="22"/>
      <c r="F39" s="25"/>
      <c r="G39" s="25"/>
      <c r="H39" s="25"/>
      <c r="I39" s="25"/>
      <c r="J39" s="25"/>
      <c r="K39" s="25"/>
      <c r="L39" s="22"/>
      <c r="M39" s="22"/>
      <c r="N39" s="22"/>
      <c r="O39" s="18">
        <v>117</v>
      </c>
      <c r="P39" s="18">
        <f t="shared" si="7"/>
        <v>-4</v>
      </c>
    </row>
    <row r="40" s="18" customFormat="1" ht="71.25" spans="1:16">
      <c r="A40" s="22">
        <v>37</v>
      </c>
      <c r="B40" s="29">
        <v>45938</v>
      </c>
      <c r="C40" s="24" t="s">
        <v>49</v>
      </c>
      <c r="D40" s="22" cm="1">
        <f t="array" ref="D40">SUM(VALUE(SUBSTITUTE(_xlfn.TEXTAFTER(_xlfn.TEXTSPLIT(C40,CHAR(10)),"-",-1),"km","")))</f>
        <v>213.8</v>
      </c>
      <c r="E40" s="22">
        <f>98+116+34+43</f>
        <v>291</v>
      </c>
      <c r="F40" s="25">
        <f t="shared" ref="F40:F55" si="8">G40/1.09</f>
        <v>3.94495412844037</v>
      </c>
      <c r="G40" s="25">
        <f t="shared" ref="G40:G68" si="9">IF(D40&gt;=301,4.1,IF(D40&gt;=201,4.3,IF(D40&gt;=101,4.5,"")))</f>
        <v>4.3</v>
      </c>
      <c r="H40" s="25">
        <f t="shared" ref="H40:H55" si="10">D40*F40</f>
        <v>843.43119266055</v>
      </c>
      <c r="I40" s="25">
        <f t="shared" ref="I40:I55" si="11">D40*G40</f>
        <v>919.34</v>
      </c>
      <c r="J40" s="25">
        <f t="shared" ref="J40:J68" si="12">IF(D40&gt;=301,3.2,IF(D40&gt;=201,3.5,IF(D40&gt;=101,3.5,"")))</f>
        <v>3.5</v>
      </c>
      <c r="K40" s="25">
        <f t="shared" ref="K40:K55" si="13">D40*J40</f>
        <v>748.3</v>
      </c>
      <c r="L40" s="22"/>
      <c r="M40" s="22"/>
      <c r="N40" s="22"/>
      <c r="O40" s="18">
        <v>213.5</v>
      </c>
      <c r="P40" s="18">
        <f t="shared" si="7"/>
        <v>0.300000000000011</v>
      </c>
    </row>
    <row r="41" s="18" customFormat="1" ht="57" spans="1:16">
      <c r="A41" s="22">
        <v>38</v>
      </c>
      <c r="B41" s="29">
        <v>45938</v>
      </c>
      <c r="C41" s="24" t="s">
        <v>50</v>
      </c>
      <c r="D41" s="22" cm="1">
        <f t="array" ref="D41">SUM(VALUE(SUBSTITUTE(_xlfn.TEXTAFTER(_xlfn.TEXTSPLIT(C41,CHAR(10)),"-",-1),"km","")))</f>
        <v>238.5</v>
      </c>
      <c r="E41" s="22">
        <f>98+116+34+43</f>
        <v>291</v>
      </c>
      <c r="F41" s="25">
        <f t="shared" si="8"/>
        <v>3.94495412844037</v>
      </c>
      <c r="G41" s="25">
        <f t="shared" si="9"/>
        <v>4.3</v>
      </c>
      <c r="H41" s="25">
        <f t="shared" si="10"/>
        <v>940.871559633027</v>
      </c>
      <c r="I41" s="25">
        <f t="shared" si="11"/>
        <v>1025.55</v>
      </c>
      <c r="J41" s="25">
        <f t="shared" si="12"/>
        <v>3.5</v>
      </c>
      <c r="K41" s="25">
        <f t="shared" si="13"/>
        <v>834.75</v>
      </c>
      <c r="L41" s="22"/>
      <c r="M41" s="22"/>
      <c r="N41" s="22"/>
      <c r="O41" s="18">
        <v>227.6</v>
      </c>
      <c r="P41" s="18">
        <f t="shared" si="7"/>
        <v>10.9</v>
      </c>
    </row>
    <row r="42" s="18" customFormat="1" ht="57" spans="1:16">
      <c r="A42" s="22">
        <v>39</v>
      </c>
      <c r="B42" s="29">
        <v>45938</v>
      </c>
      <c r="C42" s="24" t="s">
        <v>51</v>
      </c>
      <c r="D42" s="22" cm="1">
        <f t="array" ref="D42">SUM(VALUE(SUBSTITUTE(_xlfn.TEXTAFTER(_xlfn.TEXTSPLIT(C42,CHAR(10)),"-",-1),"km","")))</f>
        <v>201.7</v>
      </c>
      <c r="E42" s="22">
        <f>98+116+34+43</f>
        <v>291</v>
      </c>
      <c r="F42" s="25">
        <f t="shared" si="8"/>
        <v>3.94495412844037</v>
      </c>
      <c r="G42" s="25">
        <f t="shared" si="9"/>
        <v>4.3</v>
      </c>
      <c r="H42" s="25">
        <f t="shared" si="10"/>
        <v>795.697247706422</v>
      </c>
      <c r="I42" s="25">
        <f t="shared" si="11"/>
        <v>867.31</v>
      </c>
      <c r="J42" s="25">
        <f t="shared" si="12"/>
        <v>3.5</v>
      </c>
      <c r="K42" s="25">
        <f t="shared" si="13"/>
        <v>705.95</v>
      </c>
      <c r="L42" s="22"/>
      <c r="M42" s="22"/>
      <c r="N42" s="22"/>
      <c r="O42" s="18">
        <v>188.7</v>
      </c>
      <c r="P42" s="18">
        <f t="shared" si="7"/>
        <v>13</v>
      </c>
    </row>
    <row r="43" s="18" customFormat="1" ht="57" spans="1:16">
      <c r="A43" s="22">
        <v>40</v>
      </c>
      <c r="B43" s="29">
        <v>45938</v>
      </c>
      <c r="C43" s="24" t="s">
        <v>52</v>
      </c>
      <c r="D43" s="22" cm="1">
        <f t="array" ref="D43">SUM(VALUE(SUBSTITUTE(_xlfn.TEXTAFTER(_xlfn.TEXTSPLIT(C43,CHAR(10)),"-",-1),"km","")))</f>
        <v>118</v>
      </c>
      <c r="E43" s="22">
        <f>98+48+52</f>
        <v>198</v>
      </c>
      <c r="F43" s="25">
        <f t="shared" si="8"/>
        <v>4.12844036697248</v>
      </c>
      <c r="G43" s="25">
        <f t="shared" si="9"/>
        <v>4.5</v>
      </c>
      <c r="H43" s="25">
        <f t="shared" si="10"/>
        <v>487.155963302752</v>
      </c>
      <c r="I43" s="25">
        <f t="shared" si="11"/>
        <v>531</v>
      </c>
      <c r="J43" s="25">
        <f t="shared" si="12"/>
        <v>3.5</v>
      </c>
      <c r="K43" s="25">
        <f t="shared" si="13"/>
        <v>413</v>
      </c>
      <c r="L43" s="22"/>
      <c r="M43" s="22"/>
      <c r="N43" s="22"/>
      <c r="O43" s="18">
        <v>109</v>
      </c>
      <c r="P43" s="18">
        <f t="shared" si="7"/>
        <v>9</v>
      </c>
    </row>
    <row r="44" s="18" customFormat="1" ht="42.75" spans="1:16">
      <c r="A44" s="22">
        <v>41</v>
      </c>
      <c r="B44" s="29">
        <v>45938</v>
      </c>
      <c r="C44" s="24" t="s">
        <v>53</v>
      </c>
      <c r="D44" s="22" cm="1">
        <f t="array" ref="D44">SUM(VALUE(SUBSTITUTE(_xlfn.TEXTAFTER(_xlfn.TEXTSPLIT(C44,CHAR(10)),"-",-1),"km","")))</f>
        <v>129</v>
      </c>
      <c r="E44" s="22">
        <f>98+133+16</f>
        <v>247</v>
      </c>
      <c r="F44" s="25">
        <f t="shared" si="8"/>
        <v>4.12844036697248</v>
      </c>
      <c r="G44" s="25">
        <f t="shared" si="9"/>
        <v>4.5</v>
      </c>
      <c r="H44" s="25">
        <f t="shared" si="10"/>
        <v>532.568807339449</v>
      </c>
      <c r="I44" s="25">
        <f t="shared" si="11"/>
        <v>580.5</v>
      </c>
      <c r="J44" s="25">
        <f t="shared" si="12"/>
        <v>3.5</v>
      </c>
      <c r="K44" s="25">
        <f t="shared" si="13"/>
        <v>451.5</v>
      </c>
      <c r="L44" s="22"/>
      <c r="M44" s="22"/>
      <c r="N44" s="22"/>
      <c r="O44" s="18">
        <v>130</v>
      </c>
      <c r="P44" s="18">
        <f t="shared" si="7"/>
        <v>-1</v>
      </c>
    </row>
    <row r="45" s="18" customFormat="1" ht="42.75" spans="1:16">
      <c r="A45" s="22">
        <v>42</v>
      </c>
      <c r="B45" s="29">
        <v>45938</v>
      </c>
      <c r="C45" s="24" t="s">
        <v>54</v>
      </c>
      <c r="D45" s="22" cm="1">
        <f t="array" ref="D45">SUM(VALUE(SUBSTITUTE(_xlfn.TEXTAFTER(_xlfn.TEXTSPLIT(C45,CHAR(10)),"-",-1),"km","")))</f>
        <v>202</v>
      </c>
      <c r="E45" s="22">
        <f>167+43+59+47</f>
        <v>316</v>
      </c>
      <c r="F45" s="25">
        <f t="shared" si="8"/>
        <v>3.94495412844037</v>
      </c>
      <c r="G45" s="25">
        <f t="shared" si="9"/>
        <v>4.3</v>
      </c>
      <c r="H45" s="25">
        <f t="shared" si="10"/>
        <v>796.880733944954</v>
      </c>
      <c r="I45" s="25">
        <f t="shared" si="11"/>
        <v>868.6</v>
      </c>
      <c r="J45" s="25">
        <f t="shared" si="12"/>
        <v>3.5</v>
      </c>
      <c r="K45" s="25">
        <f t="shared" si="13"/>
        <v>707</v>
      </c>
      <c r="L45" s="22"/>
      <c r="M45" s="22"/>
      <c r="N45" s="22"/>
      <c r="O45" s="18">
        <v>189</v>
      </c>
      <c r="P45" s="18">
        <f t="shared" si="7"/>
        <v>13</v>
      </c>
    </row>
    <row r="46" s="18" customFormat="1" ht="28.5" spans="1:16">
      <c r="A46" s="22">
        <v>43</v>
      </c>
      <c r="B46" s="29">
        <v>45938</v>
      </c>
      <c r="C46" s="24" t="s">
        <v>55</v>
      </c>
      <c r="D46" s="22">
        <v>1</v>
      </c>
      <c r="E46" s="22">
        <f>171+34+43</f>
        <v>248</v>
      </c>
      <c r="F46" s="25">
        <f t="shared" si="8"/>
        <v>440.366972477064</v>
      </c>
      <c r="G46" s="25">
        <v>480</v>
      </c>
      <c r="H46" s="25">
        <f t="shared" si="10"/>
        <v>440.366972477064</v>
      </c>
      <c r="I46" s="25">
        <f t="shared" si="11"/>
        <v>480</v>
      </c>
      <c r="J46" s="25">
        <v>450</v>
      </c>
      <c r="K46" s="25">
        <f t="shared" si="13"/>
        <v>450</v>
      </c>
      <c r="L46" s="22"/>
      <c r="M46" s="22"/>
      <c r="N46" s="22"/>
      <c r="O46" s="18">
        <v>106</v>
      </c>
      <c r="P46" s="18">
        <f t="shared" si="7"/>
        <v>-105</v>
      </c>
    </row>
    <row r="47" s="18" customFormat="1" ht="42.75" spans="1:16">
      <c r="A47" s="22">
        <v>44</v>
      </c>
      <c r="B47" s="29">
        <v>45939</v>
      </c>
      <c r="C47" s="24" t="s">
        <v>56</v>
      </c>
      <c r="D47" s="22" cm="1">
        <f t="array" ref="D47">SUM(VALUE(SUBSTITUTE(_xlfn.TEXTAFTER(_xlfn.TEXTSPLIT(C47,CHAR(10)),"-",-1),"km","")))</f>
        <v>246</v>
      </c>
      <c r="E47" s="22">
        <f>171+34+43</f>
        <v>248</v>
      </c>
      <c r="F47" s="25">
        <f t="shared" si="8"/>
        <v>3.94495412844037</v>
      </c>
      <c r="G47" s="25">
        <f t="shared" si="9"/>
        <v>4.3</v>
      </c>
      <c r="H47" s="25">
        <f t="shared" si="10"/>
        <v>970.45871559633</v>
      </c>
      <c r="I47" s="25">
        <f t="shared" si="11"/>
        <v>1057.8</v>
      </c>
      <c r="J47" s="25">
        <f t="shared" si="12"/>
        <v>3.5</v>
      </c>
      <c r="K47" s="25">
        <f t="shared" si="13"/>
        <v>861</v>
      </c>
      <c r="L47" s="22"/>
      <c r="M47" s="22"/>
      <c r="N47" s="22"/>
      <c r="O47" s="18">
        <v>243.4</v>
      </c>
      <c r="P47" s="18">
        <f t="shared" si="7"/>
        <v>2.59999999999999</v>
      </c>
    </row>
    <row r="48" s="18" customFormat="1" ht="57" spans="1:16">
      <c r="A48" s="22">
        <v>45</v>
      </c>
      <c r="B48" s="29">
        <v>45939</v>
      </c>
      <c r="C48" s="24" t="s">
        <v>57</v>
      </c>
      <c r="D48" s="22" cm="1">
        <f t="array" ref="D48">SUM(VALUE(SUBSTITUTE(_xlfn.TEXTAFTER(_xlfn.TEXTSPLIT(C48,CHAR(10)),"-",-1),"km","")))</f>
        <v>367</v>
      </c>
      <c r="E48" s="22">
        <f>86+10+12+10</f>
        <v>118</v>
      </c>
      <c r="F48" s="25">
        <f t="shared" si="8"/>
        <v>3.76146788990826</v>
      </c>
      <c r="G48" s="25">
        <f t="shared" si="9"/>
        <v>4.1</v>
      </c>
      <c r="H48" s="25">
        <f t="shared" si="10"/>
        <v>1380.45871559633</v>
      </c>
      <c r="I48" s="25">
        <f t="shared" si="11"/>
        <v>1504.7</v>
      </c>
      <c r="J48" s="25">
        <f t="shared" si="12"/>
        <v>3.2</v>
      </c>
      <c r="K48" s="25">
        <f t="shared" si="13"/>
        <v>1174.4</v>
      </c>
      <c r="L48" s="22"/>
      <c r="M48" s="22"/>
      <c r="N48" s="22"/>
      <c r="O48" s="18">
        <v>370</v>
      </c>
      <c r="P48" s="18">
        <f t="shared" si="7"/>
        <v>-3</v>
      </c>
    </row>
    <row r="49" s="18" customFormat="1" ht="85.5" spans="1:16">
      <c r="A49" s="22">
        <v>46</v>
      </c>
      <c r="B49" s="29">
        <v>45939</v>
      </c>
      <c r="C49" s="24" t="s">
        <v>58</v>
      </c>
      <c r="D49" s="22" cm="1">
        <f t="array" ref="D49">SUM(VALUE(SUBSTITUTE(_xlfn.TEXTAFTER(_xlfn.TEXTSPLIT(C49,CHAR(10)),"-",-1),"km","")))</f>
        <v>614</v>
      </c>
      <c r="E49" s="22">
        <f>127+59+33+42+50</f>
        <v>311</v>
      </c>
      <c r="F49" s="25">
        <f t="shared" si="8"/>
        <v>3.76146788990826</v>
      </c>
      <c r="G49" s="25">
        <f t="shared" si="9"/>
        <v>4.1</v>
      </c>
      <c r="H49" s="25">
        <f t="shared" si="10"/>
        <v>2309.54128440367</v>
      </c>
      <c r="I49" s="25">
        <f t="shared" si="11"/>
        <v>2517.4</v>
      </c>
      <c r="J49" s="25">
        <f t="shared" si="12"/>
        <v>3.2</v>
      </c>
      <c r="K49" s="25">
        <f t="shared" si="13"/>
        <v>1964.8</v>
      </c>
      <c r="L49" s="22"/>
      <c r="M49" s="22"/>
      <c r="N49" s="22"/>
      <c r="O49" s="18">
        <v>610</v>
      </c>
      <c r="P49" s="18">
        <f t="shared" si="7"/>
        <v>4</v>
      </c>
    </row>
    <row r="50" s="18" customFormat="1" ht="85.5" spans="1:16">
      <c r="A50" s="22">
        <v>47</v>
      </c>
      <c r="B50" s="29">
        <v>45939</v>
      </c>
      <c r="C50" s="24" t="s">
        <v>59</v>
      </c>
      <c r="D50" s="22" cm="1">
        <f t="array" ref="D50">SUM(VALUE(SUBSTITUTE(_xlfn.TEXTAFTER(_xlfn.TEXTSPLIT(C50,CHAR(10)),"-",-1),"km","")))</f>
        <v>494</v>
      </c>
      <c r="E50" s="22">
        <f>98+136+9.5+59+47</f>
        <v>349.5</v>
      </c>
      <c r="F50" s="25">
        <f t="shared" si="8"/>
        <v>3.76146788990826</v>
      </c>
      <c r="G50" s="25">
        <f t="shared" si="9"/>
        <v>4.1</v>
      </c>
      <c r="H50" s="25">
        <f t="shared" si="10"/>
        <v>1858.16513761468</v>
      </c>
      <c r="I50" s="25">
        <f t="shared" si="11"/>
        <v>2025.4</v>
      </c>
      <c r="J50" s="25">
        <f t="shared" si="12"/>
        <v>3.2</v>
      </c>
      <c r="K50" s="25">
        <f t="shared" si="13"/>
        <v>1580.8</v>
      </c>
      <c r="L50" s="22"/>
      <c r="M50" s="22"/>
      <c r="N50" s="22"/>
      <c r="O50" s="18">
        <v>482</v>
      </c>
      <c r="P50" s="18">
        <f t="shared" si="7"/>
        <v>12</v>
      </c>
    </row>
    <row r="51" s="20" customFormat="1" ht="57" spans="1:17">
      <c r="A51" s="22">
        <v>48</v>
      </c>
      <c r="B51" s="29">
        <v>45940</v>
      </c>
      <c r="C51" s="24" t="s">
        <v>60</v>
      </c>
      <c r="D51" s="22" cm="1">
        <f t="array" ref="D51">SUM(VALUE(SUBSTITUTE(_xlfn.TEXTAFTER(_xlfn.TEXTSPLIT(C51,CHAR(10)),"-",-1),"km","")))</f>
        <v>186.6</v>
      </c>
      <c r="E51" s="22">
        <f>98+136+9.5+59+47</f>
        <v>349.5</v>
      </c>
      <c r="F51" s="25">
        <f t="shared" si="8"/>
        <v>4.12844036697248</v>
      </c>
      <c r="G51" s="25">
        <f t="shared" si="9"/>
        <v>4.5</v>
      </c>
      <c r="H51" s="25">
        <f t="shared" si="10"/>
        <v>770.366972477064</v>
      </c>
      <c r="I51" s="25">
        <f t="shared" si="11"/>
        <v>839.7</v>
      </c>
      <c r="J51" s="25">
        <f t="shared" si="12"/>
        <v>3.5</v>
      </c>
      <c r="K51" s="25">
        <f t="shared" si="13"/>
        <v>653.1</v>
      </c>
      <c r="L51" s="22"/>
      <c r="M51" s="22"/>
      <c r="N51" s="22"/>
      <c r="O51" s="20">
        <v>184.4</v>
      </c>
      <c r="P51" s="18">
        <f t="shared" si="7"/>
        <v>2.19999999999999</v>
      </c>
      <c r="Q51" s="18"/>
    </row>
    <row r="52" s="18" customFormat="1" ht="71.25" spans="1:16">
      <c r="A52" s="22">
        <v>49</v>
      </c>
      <c r="B52" s="29">
        <v>45940</v>
      </c>
      <c r="C52" s="24" t="s">
        <v>61</v>
      </c>
      <c r="D52" s="22" cm="1">
        <f t="array" ref="D52">SUM(VALUE(SUBSTITUTE(_xlfn.TEXTAFTER(_xlfn.TEXTSPLIT(C52,CHAR(10)),"-",-1),"km","")))</f>
        <v>143.6</v>
      </c>
      <c r="E52" s="22">
        <f>35+67+10+12+10+8</f>
        <v>142</v>
      </c>
      <c r="F52" s="25">
        <f t="shared" si="8"/>
        <v>4.12844036697248</v>
      </c>
      <c r="G52" s="25">
        <f t="shared" si="9"/>
        <v>4.5</v>
      </c>
      <c r="H52" s="25">
        <f t="shared" si="10"/>
        <v>592.844036697248</v>
      </c>
      <c r="I52" s="25">
        <f t="shared" si="11"/>
        <v>646.2</v>
      </c>
      <c r="J52" s="25">
        <f t="shared" si="12"/>
        <v>3.5</v>
      </c>
      <c r="K52" s="25">
        <f t="shared" si="13"/>
        <v>502.6</v>
      </c>
      <c r="L52" s="22"/>
      <c r="M52" s="22"/>
      <c r="N52" s="22"/>
      <c r="O52" s="18">
        <v>126.3</v>
      </c>
      <c r="P52" s="18">
        <f t="shared" si="7"/>
        <v>17.3</v>
      </c>
    </row>
    <row r="53" s="18" customFormat="1" ht="85.5" spans="1:16">
      <c r="A53" s="22">
        <v>50</v>
      </c>
      <c r="B53" s="29">
        <v>45940</v>
      </c>
      <c r="C53" s="24" t="s">
        <v>62</v>
      </c>
      <c r="D53" s="22" cm="1">
        <f t="array" ref="D53">SUM(VALUE(SUBSTITUTE(_xlfn.TEXTAFTER(_xlfn.TEXTSPLIT(C53,CHAR(10)),"-",-1),"km","")))</f>
        <v>277.5</v>
      </c>
      <c r="E53" s="22">
        <f>35+67+10+12+10+8</f>
        <v>142</v>
      </c>
      <c r="F53" s="25">
        <f t="shared" si="8"/>
        <v>3.94495412844037</v>
      </c>
      <c r="G53" s="25">
        <f t="shared" si="9"/>
        <v>4.3</v>
      </c>
      <c r="H53" s="25">
        <f t="shared" si="10"/>
        <v>1094.7247706422</v>
      </c>
      <c r="I53" s="25">
        <f t="shared" si="11"/>
        <v>1193.25</v>
      </c>
      <c r="J53" s="25">
        <f t="shared" si="12"/>
        <v>3.5</v>
      </c>
      <c r="K53" s="25">
        <f t="shared" si="13"/>
        <v>971.25</v>
      </c>
      <c r="L53" s="22"/>
      <c r="M53" s="22"/>
      <c r="N53" s="22"/>
      <c r="O53" s="18">
        <v>266.5</v>
      </c>
      <c r="P53" s="18">
        <f t="shared" si="7"/>
        <v>11</v>
      </c>
    </row>
    <row r="54" s="18" customFormat="1" ht="71.25" spans="1:16">
      <c r="A54" s="22">
        <v>51</v>
      </c>
      <c r="B54" s="29">
        <v>45940</v>
      </c>
      <c r="C54" s="24" t="s">
        <v>63</v>
      </c>
      <c r="D54" s="22" cm="1">
        <f t="array" ref="D54">SUM(VALUE(SUBSTITUTE(_xlfn.TEXTAFTER(_xlfn.TEXTSPLIT(C54,CHAR(10)),"-",-1),"km","")))</f>
        <v>278</v>
      </c>
      <c r="E54" s="22">
        <f>35+67+10+12+10+8</f>
        <v>142</v>
      </c>
      <c r="F54" s="25">
        <f t="shared" si="8"/>
        <v>3.94495412844037</v>
      </c>
      <c r="G54" s="25">
        <f t="shared" si="9"/>
        <v>4.3</v>
      </c>
      <c r="H54" s="25">
        <f t="shared" si="10"/>
        <v>1096.69724770642</v>
      </c>
      <c r="I54" s="25">
        <f t="shared" si="11"/>
        <v>1195.4</v>
      </c>
      <c r="J54" s="25">
        <f t="shared" si="12"/>
        <v>3.5</v>
      </c>
      <c r="K54" s="25">
        <f t="shared" si="13"/>
        <v>973</v>
      </c>
      <c r="L54" s="22"/>
      <c r="M54" s="22"/>
      <c r="N54" s="22"/>
      <c r="O54" s="18">
        <v>234</v>
      </c>
      <c r="P54" s="18">
        <f t="shared" si="7"/>
        <v>44</v>
      </c>
    </row>
    <row r="55" s="18" customFormat="1" ht="71.25" spans="1:16">
      <c r="A55" s="22">
        <v>52</v>
      </c>
      <c r="B55" s="29">
        <v>45940</v>
      </c>
      <c r="C55" s="24" t="s">
        <v>64</v>
      </c>
      <c r="D55" s="22" cm="1">
        <f t="array" ref="D55">SUM(VALUE(SUBSTITUTE(_xlfn.TEXTAFTER(_xlfn.TEXTSPLIT(C55,CHAR(10)),"-",-1),"km","")))</f>
        <v>193.8</v>
      </c>
      <c r="E55" s="22">
        <f>180+28+33+42+50</f>
        <v>333</v>
      </c>
      <c r="F55" s="25">
        <f t="shared" si="8"/>
        <v>4.12844036697248</v>
      </c>
      <c r="G55" s="25">
        <f t="shared" si="9"/>
        <v>4.5</v>
      </c>
      <c r="H55" s="25">
        <f t="shared" si="10"/>
        <v>800.091743119266</v>
      </c>
      <c r="I55" s="25">
        <f t="shared" si="11"/>
        <v>872.1</v>
      </c>
      <c r="J55" s="25">
        <f t="shared" si="12"/>
        <v>3.5</v>
      </c>
      <c r="K55" s="25">
        <f t="shared" si="13"/>
        <v>678.3</v>
      </c>
      <c r="L55" s="22"/>
      <c r="M55" s="22"/>
      <c r="N55" s="22"/>
      <c r="O55" s="18">
        <v>189.6</v>
      </c>
      <c r="P55" s="18">
        <f t="shared" si="7"/>
        <v>4.20000000000002</v>
      </c>
    </row>
    <row r="56" s="18" customFormat="1" spans="1:16">
      <c r="A56" s="22"/>
      <c r="B56" s="29">
        <v>45940</v>
      </c>
      <c r="C56" s="24" t="s">
        <v>65</v>
      </c>
      <c r="D56" s="22" cm="1">
        <f t="array" ref="D56">SUM(VALUE(SUBSTITUTE(_xlfn.TEXTAFTER(_xlfn.TEXTSPLIT(C56,CHAR(10)),"-",-1),"km","")))</f>
        <v>264</v>
      </c>
      <c r="E56" s="22"/>
      <c r="F56" s="25"/>
      <c r="G56" s="25"/>
      <c r="H56" s="25"/>
      <c r="I56" s="25"/>
      <c r="J56" s="25"/>
      <c r="K56" s="25"/>
      <c r="L56" s="22"/>
      <c r="M56" s="22"/>
      <c r="N56" s="22"/>
      <c r="O56" s="18">
        <v>261</v>
      </c>
      <c r="P56" s="18">
        <f t="shared" si="7"/>
        <v>3</v>
      </c>
    </row>
    <row r="57" s="18" customFormat="1" ht="71.25" spans="1:16">
      <c r="A57" s="22">
        <v>53</v>
      </c>
      <c r="B57" s="29">
        <v>45941</v>
      </c>
      <c r="C57" s="24" t="s">
        <v>66</v>
      </c>
      <c r="D57" s="22" cm="1">
        <f t="array" ref="D57">SUM(VALUE(SUBSTITUTE(_xlfn.TEXTAFTER(_xlfn.TEXTSPLIT(C57,CHAR(10)),"-",-1),"km","")))</f>
        <v>326</v>
      </c>
      <c r="E57" s="22">
        <f>98+48+95+9.5+59+47</f>
        <v>356.5</v>
      </c>
      <c r="F57" s="25">
        <f t="shared" ref="F57:F72" si="14">G57/1.09</f>
        <v>3.76146788990826</v>
      </c>
      <c r="G57" s="25">
        <f t="shared" ref="G57:G72" si="15">IF(D57&gt;=301,4.1,IF(D57&gt;=201,4.3,IF(D57&gt;=101,4.5,"")))</f>
        <v>4.1</v>
      </c>
      <c r="H57" s="25">
        <f t="shared" ref="H57:H72" si="16">D57*F57</f>
        <v>1226.23853211009</v>
      </c>
      <c r="I57" s="25">
        <f t="shared" ref="I57:I72" si="17">D57*G57</f>
        <v>1336.6</v>
      </c>
      <c r="J57" s="25">
        <f t="shared" ref="J57:J72" si="18">IF(D57&gt;=301,3.2,IF(D57&gt;=201,3.5,IF(D57&gt;=101,3.5,"")))</f>
        <v>3.2</v>
      </c>
      <c r="K57" s="25">
        <f t="shared" ref="K57:K72" si="19">D57*J57</f>
        <v>1043.2</v>
      </c>
      <c r="L57" s="22"/>
      <c r="M57" s="22"/>
      <c r="N57" s="22"/>
      <c r="O57" s="18">
        <v>326</v>
      </c>
      <c r="P57" s="18">
        <f t="shared" ref="P57:P84" si="20">D57-O57</f>
        <v>0</v>
      </c>
    </row>
    <row r="58" s="18" customFormat="1" ht="114" spans="1:16">
      <c r="A58" s="22">
        <v>54</v>
      </c>
      <c r="B58" s="29">
        <v>45941</v>
      </c>
      <c r="C58" s="24" t="s">
        <v>67</v>
      </c>
      <c r="D58" s="22" cm="1">
        <f t="array" ref="D58">SUM(VALUE(SUBSTITUTE(_xlfn.TEXTAFTER(_xlfn.TEXTSPLIT(C58,CHAR(10)),"-",-1),"km","")))</f>
        <v>676</v>
      </c>
      <c r="E58" s="22">
        <f>98+48+95+9.5+59+47</f>
        <v>356.5</v>
      </c>
      <c r="F58" s="25">
        <f t="shared" si="14"/>
        <v>3.76146788990826</v>
      </c>
      <c r="G58" s="25">
        <f t="shared" si="15"/>
        <v>4.1</v>
      </c>
      <c r="H58" s="25">
        <f t="shared" si="16"/>
        <v>2542.75229357798</v>
      </c>
      <c r="I58" s="25">
        <f t="shared" si="17"/>
        <v>2771.6</v>
      </c>
      <c r="J58" s="25">
        <f t="shared" si="18"/>
        <v>3.2</v>
      </c>
      <c r="K58" s="25">
        <f t="shared" si="19"/>
        <v>2163.2</v>
      </c>
      <c r="L58" s="22"/>
      <c r="M58" s="22"/>
      <c r="N58" s="22"/>
      <c r="O58" s="18">
        <v>674</v>
      </c>
      <c r="P58" s="18">
        <f t="shared" si="20"/>
        <v>2</v>
      </c>
    </row>
    <row r="59" s="18" customFormat="1" ht="71.25" spans="1:16">
      <c r="A59" s="22">
        <v>55</v>
      </c>
      <c r="B59" s="29">
        <v>45941</v>
      </c>
      <c r="C59" s="24" t="s">
        <v>68</v>
      </c>
      <c r="D59" s="22" cm="1">
        <f t="array" ref="D59">SUM(VALUE(SUBSTITUTE(_xlfn.TEXTAFTER(_xlfn.TEXTSPLIT(C59,CHAR(10)),"-",-1),"km","")))</f>
        <v>363</v>
      </c>
      <c r="E59" s="22">
        <f>98+48+95+9.5+59+47</f>
        <v>356.5</v>
      </c>
      <c r="F59" s="25">
        <f t="shared" si="14"/>
        <v>3.76146788990826</v>
      </c>
      <c r="G59" s="25">
        <f t="shared" si="15"/>
        <v>4.1</v>
      </c>
      <c r="H59" s="25">
        <f t="shared" si="16"/>
        <v>1365.4128440367</v>
      </c>
      <c r="I59" s="25">
        <f t="shared" si="17"/>
        <v>1488.3</v>
      </c>
      <c r="J59" s="25">
        <f t="shared" si="18"/>
        <v>3.2</v>
      </c>
      <c r="K59" s="25">
        <f t="shared" si="19"/>
        <v>1161.6</v>
      </c>
      <c r="L59" s="22"/>
      <c r="M59" s="22"/>
      <c r="N59" s="22"/>
      <c r="O59" s="18">
        <v>350</v>
      </c>
      <c r="P59" s="18">
        <f t="shared" si="20"/>
        <v>13</v>
      </c>
    </row>
    <row r="60" s="21" customFormat="1" ht="57" spans="1:17">
      <c r="A60" s="22">
        <v>56</v>
      </c>
      <c r="B60" s="29">
        <v>45942</v>
      </c>
      <c r="C60" s="30" t="s">
        <v>69</v>
      </c>
      <c r="D60" s="22" cm="1">
        <f t="array" ref="D60">SUM(VALUE(SUBSTITUTE(_xlfn.TEXTAFTER(_xlfn.TEXTSPLIT(C60,CHAR(10)),"-",-1),"km","")))</f>
        <v>162.4</v>
      </c>
      <c r="E60" s="22">
        <f>98+48+95+9.5+59+47</f>
        <v>356.5</v>
      </c>
      <c r="F60" s="25">
        <f t="shared" si="14"/>
        <v>4.12844036697248</v>
      </c>
      <c r="G60" s="25">
        <f t="shared" si="15"/>
        <v>4.5</v>
      </c>
      <c r="H60" s="25">
        <f t="shared" si="16"/>
        <v>670.45871559633</v>
      </c>
      <c r="I60" s="25">
        <f t="shared" si="17"/>
        <v>730.8</v>
      </c>
      <c r="J60" s="25">
        <f t="shared" si="18"/>
        <v>3.5</v>
      </c>
      <c r="K60" s="25">
        <f t="shared" si="19"/>
        <v>568.4</v>
      </c>
      <c r="L60" s="31"/>
      <c r="M60" s="31"/>
      <c r="N60" s="31"/>
      <c r="O60" s="21">
        <v>162.2</v>
      </c>
      <c r="P60" s="18">
        <f t="shared" si="20"/>
        <v>0.200000000000017</v>
      </c>
      <c r="Q60" s="18"/>
    </row>
    <row r="61" s="18" customFormat="1" ht="71.25" spans="1:16">
      <c r="A61" s="22">
        <v>57</v>
      </c>
      <c r="B61" s="29">
        <v>45943</v>
      </c>
      <c r="C61" s="24" t="s">
        <v>70</v>
      </c>
      <c r="D61" s="22" cm="1">
        <f t="array" ref="D61">SUM(VALUE(SUBSTITUTE(_xlfn.TEXTAFTER(_xlfn.TEXTSPLIT(C61,CHAR(10)),"-",-1),"km","")))</f>
        <v>207.7</v>
      </c>
      <c r="E61" s="22">
        <f>98+48+95+9.5+59+47</f>
        <v>356.5</v>
      </c>
      <c r="F61" s="25">
        <f t="shared" si="14"/>
        <v>3.94495412844037</v>
      </c>
      <c r="G61" s="25">
        <f t="shared" si="15"/>
        <v>4.3</v>
      </c>
      <c r="H61" s="25">
        <f t="shared" si="16"/>
        <v>819.366972477064</v>
      </c>
      <c r="I61" s="25">
        <f t="shared" si="17"/>
        <v>893.11</v>
      </c>
      <c r="J61" s="25">
        <f t="shared" si="18"/>
        <v>3.5</v>
      </c>
      <c r="K61" s="25">
        <f t="shared" si="19"/>
        <v>726.95</v>
      </c>
      <c r="L61" s="22"/>
      <c r="M61" s="22"/>
      <c r="N61" s="22"/>
      <c r="O61" s="18">
        <v>195.7</v>
      </c>
      <c r="P61" s="18">
        <f t="shared" si="20"/>
        <v>12</v>
      </c>
    </row>
    <row r="62" s="18" customFormat="1" ht="55" customHeight="1" spans="1:16">
      <c r="A62" s="22">
        <v>58</v>
      </c>
      <c r="B62" s="29">
        <v>45943</v>
      </c>
      <c r="C62" s="24" t="s">
        <v>71</v>
      </c>
      <c r="D62" s="22" cm="1">
        <f t="array" ref="D62">SUM(VALUE(SUBSTITUTE(_xlfn.TEXTAFTER(_xlfn.TEXTSPLIT(C62,CHAR(10)),"-",-1),"km","")))</f>
        <v>174.1</v>
      </c>
      <c r="E62" s="22">
        <f>13+83+10+12+10</f>
        <v>128</v>
      </c>
      <c r="F62" s="25">
        <f t="shared" si="14"/>
        <v>4.12844036697248</v>
      </c>
      <c r="G62" s="25">
        <f t="shared" si="15"/>
        <v>4.5</v>
      </c>
      <c r="H62" s="25">
        <f t="shared" si="16"/>
        <v>718.761467889908</v>
      </c>
      <c r="I62" s="25">
        <f t="shared" si="17"/>
        <v>783.45</v>
      </c>
      <c r="J62" s="25">
        <f t="shared" si="18"/>
        <v>3.5</v>
      </c>
      <c r="K62" s="25">
        <f t="shared" si="19"/>
        <v>609.35</v>
      </c>
      <c r="L62" s="22"/>
      <c r="M62" s="22"/>
      <c r="N62" s="22"/>
      <c r="O62" s="18">
        <v>170.8</v>
      </c>
      <c r="P62" s="18">
        <f t="shared" si="20"/>
        <v>3.29999999999998</v>
      </c>
    </row>
    <row r="63" s="18" customFormat="1" ht="71.25" spans="1:16">
      <c r="A63" s="22">
        <v>59</v>
      </c>
      <c r="B63" s="29">
        <v>45943</v>
      </c>
      <c r="C63" s="24" t="s">
        <v>72</v>
      </c>
      <c r="D63" s="22" cm="1">
        <f t="array" ref="D63">SUM(VALUE(SUBSTITUTE(_xlfn.TEXTAFTER(_xlfn.TEXTSPLIT(C63,CHAR(10)),"-",-1),"km","")))</f>
        <v>189.5</v>
      </c>
      <c r="E63" s="22">
        <f>13+83+10+12+10</f>
        <v>128</v>
      </c>
      <c r="F63" s="25">
        <f t="shared" si="14"/>
        <v>4.12844036697248</v>
      </c>
      <c r="G63" s="25">
        <f t="shared" si="15"/>
        <v>4.5</v>
      </c>
      <c r="H63" s="25">
        <f t="shared" si="16"/>
        <v>782.339449541284</v>
      </c>
      <c r="I63" s="25">
        <f t="shared" si="17"/>
        <v>852.75</v>
      </c>
      <c r="J63" s="25">
        <f t="shared" si="18"/>
        <v>3.5</v>
      </c>
      <c r="K63" s="25">
        <f t="shared" si="19"/>
        <v>663.25</v>
      </c>
      <c r="L63" s="22"/>
      <c r="M63" s="22"/>
      <c r="N63" s="22"/>
      <c r="O63" s="18">
        <v>182.7</v>
      </c>
      <c r="P63" s="18">
        <f t="shared" si="20"/>
        <v>6.80000000000001</v>
      </c>
    </row>
    <row r="64" s="18" customFormat="1" ht="57" spans="1:16">
      <c r="A64" s="22">
        <v>60</v>
      </c>
      <c r="B64" s="29">
        <v>45943</v>
      </c>
      <c r="C64" s="24" t="s">
        <v>73</v>
      </c>
      <c r="D64" s="22" cm="1">
        <f t="array" ref="D64">SUM(VALUE(SUBSTITUTE(_xlfn.TEXTAFTER(_xlfn.TEXTSPLIT(C64,CHAR(10)),"-",-1),"km","")))</f>
        <v>163</v>
      </c>
      <c r="E64" s="22">
        <f>13+83+10+12+10</f>
        <v>128</v>
      </c>
      <c r="F64" s="25">
        <f t="shared" si="14"/>
        <v>4.12844036697248</v>
      </c>
      <c r="G64" s="25">
        <f t="shared" si="15"/>
        <v>4.5</v>
      </c>
      <c r="H64" s="25">
        <f t="shared" si="16"/>
        <v>672.935779816514</v>
      </c>
      <c r="I64" s="25">
        <f t="shared" si="17"/>
        <v>733.5</v>
      </c>
      <c r="J64" s="25">
        <f t="shared" si="18"/>
        <v>3.5</v>
      </c>
      <c r="K64" s="25">
        <f t="shared" si="19"/>
        <v>570.5</v>
      </c>
      <c r="L64" s="22"/>
      <c r="M64" s="22"/>
      <c r="N64" s="22"/>
      <c r="O64" s="18">
        <v>149</v>
      </c>
      <c r="P64" s="18">
        <f t="shared" si="20"/>
        <v>14</v>
      </c>
    </row>
    <row r="65" s="18" customFormat="1" ht="57" spans="1:16">
      <c r="A65" s="22">
        <v>61</v>
      </c>
      <c r="B65" s="29">
        <v>45943</v>
      </c>
      <c r="C65" s="24" t="s">
        <v>74</v>
      </c>
      <c r="D65" s="22" cm="1">
        <f t="array" ref="D65">SUM(VALUE(SUBSTITUTE(_xlfn.TEXTAFTER(_xlfn.TEXTSPLIT(C65,CHAR(10)),"-",-1),"km","")))</f>
        <v>235.3</v>
      </c>
      <c r="E65" s="32">
        <f>171+81+42+50</f>
        <v>344</v>
      </c>
      <c r="F65" s="25">
        <f t="shared" si="14"/>
        <v>3.94495412844037</v>
      </c>
      <c r="G65" s="25">
        <f t="shared" si="15"/>
        <v>4.3</v>
      </c>
      <c r="H65" s="25">
        <f t="shared" si="16"/>
        <v>928.247706422018</v>
      </c>
      <c r="I65" s="25">
        <f t="shared" si="17"/>
        <v>1011.79</v>
      </c>
      <c r="J65" s="25">
        <f t="shared" si="18"/>
        <v>3.5</v>
      </c>
      <c r="K65" s="25">
        <f t="shared" si="19"/>
        <v>823.55</v>
      </c>
      <c r="L65" s="22"/>
      <c r="M65" s="22"/>
      <c r="N65" s="22"/>
      <c r="O65" s="18">
        <v>235.4</v>
      </c>
      <c r="P65" s="18">
        <f t="shared" si="20"/>
        <v>-0.0999999999999943</v>
      </c>
    </row>
    <row r="66" s="18" customFormat="1" ht="71.25" spans="1:16">
      <c r="A66" s="22">
        <v>62</v>
      </c>
      <c r="B66" s="29">
        <v>45943</v>
      </c>
      <c r="C66" s="24" t="s">
        <v>75</v>
      </c>
      <c r="D66" s="22" cm="1">
        <f t="array" ref="D66">SUM(VALUE(SUBSTITUTE(_xlfn.TEXTAFTER(_xlfn.TEXTSPLIT(C66,CHAR(10)),"-",-1),"km","")))</f>
        <v>178</v>
      </c>
      <c r="E66" s="22">
        <f>180+27+59+47</f>
        <v>313</v>
      </c>
      <c r="F66" s="25">
        <f t="shared" si="14"/>
        <v>4.12844036697248</v>
      </c>
      <c r="G66" s="25">
        <f t="shared" si="15"/>
        <v>4.5</v>
      </c>
      <c r="H66" s="25">
        <f t="shared" si="16"/>
        <v>734.862385321101</v>
      </c>
      <c r="I66" s="25">
        <f t="shared" si="17"/>
        <v>801</v>
      </c>
      <c r="J66" s="25">
        <f t="shared" si="18"/>
        <v>3.5</v>
      </c>
      <c r="K66" s="25">
        <f t="shared" si="19"/>
        <v>623</v>
      </c>
      <c r="L66" s="22"/>
      <c r="M66" s="22"/>
      <c r="N66" s="22"/>
      <c r="O66" s="18">
        <v>180.4</v>
      </c>
      <c r="P66" s="18">
        <f t="shared" si="20"/>
        <v>-2.40000000000001</v>
      </c>
    </row>
    <row r="67" s="18" customFormat="1" ht="57" spans="1:16">
      <c r="A67" s="22">
        <v>63</v>
      </c>
      <c r="B67" s="29">
        <v>45944</v>
      </c>
      <c r="C67" s="24" t="s">
        <v>76</v>
      </c>
      <c r="D67" s="22" cm="1">
        <f t="array" ref="D67">SUM(VALUE(SUBSTITUTE(_xlfn.TEXTAFTER(_xlfn.TEXTSPLIT(C67,CHAR(10)),"-",-1),"km","")))</f>
        <v>606</v>
      </c>
      <c r="E67" s="22">
        <f>190+43</f>
        <v>233</v>
      </c>
      <c r="F67" s="25">
        <f t="shared" si="14"/>
        <v>3.76146788990826</v>
      </c>
      <c r="G67" s="25">
        <f t="shared" si="15"/>
        <v>4.1</v>
      </c>
      <c r="H67" s="25">
        <f t="shared" si="16"/>
        <v>2279.4495412844</v>
      </c>
      <c r="I67" s="25">
        <f t="shared" si="17"/>
        <v>2484.6</v>
      </c>
      <c r="J67" s="25">
        <f t="shared" si="18"/>
        <v>3.2</v>
      </c>
      <c r="K67" s="25">
        <f t="shared" si="19"/>
        <v>1939.2</v>
      </c>
      <c r="L67" s="22"/>
      <c r="M67" s="22"/>
      <c r="N67" s="22"/>
      <c r="O67" s="18">
        <v>600</v>
      </c>
      <c r="P67" s="18">
        <f t="shared" si="20"/>
        <v>6</v>
      </c>
    </row>
    <row r="68" s="18" customFormat="1" ht="57" spans="1:16">
      <c r="A68" s="22">
        <v>64</v>
      </c>
      <c r="B68" s="29">
        <v>45944</v>
      </c>
      <c r="C68" s="24" t="s">
        <v>77</v>
      </c>
      <c r="D68" s="22" cm="1">
        <f t="array" ref="D68">SUM(VALUE(SUBSTITUTE(_xlfn.TEXTAFTER(_xlfn.TEXTSPLIT(C68,CHAR(10)),"-",-1),"km","")))</f>
        <v>419</v>
      </c>
      <c r="E68" s="22">
        <f>98+48</f>
        <v>146</v>
      </c>
      <c r="F68" s="25">
        <f t="shared" si="14"/>
        <v>3.76146788990826</v>
      </c>
      <c r="G68" s="25">
        <f t="shared" si="15"/>
        <v>4.1</v>
      </c>
      <c r="H68" s="25">
        <f t="shared" si="16"/>
        <v>1576.05504587156</v>
      </c>
      <c r="I68" s="25">
        <f t="shared" si="17"/>
        <v>1717.9</v>
      </c>
      <c r="J68" s="25">
        <f t="shared" si="18"/>
        <v>3.2</v>
      </c>
      <c r="K68" s="25">
        <f t="shared" si="19"/>
        <v>1340.8</v>
      </c>
      <c r="L68" s="22"/>
      <c r="M68" s="22"/>
      <c r="N68" s="22"/>
      <c r="O68" s="18">
        <v>426</v>
      </c>
      <c r="P68" s="18">
        <f t="shared" si="20"/>
        <v>-7</v>
      </c>
    </row>
    <row r="69" s="18" customFormat="1" ht="42.75" spans="1:16">
      <c r="A69" s="22">
        <v>65</v>
      </c>
      <c r="B69" s="29">
        <v>45944</v>
      </c>
      <c r="C69" s="24" t="s">
        <v>78</v>
      </c>
      <c r="D69" s="22" cm="1">
        <f t="array" ref="D69">SUM(VALUE(SUBSTITUTE(_xlfn.TEXTAFTER(_xlfn.TEXTSPLIT(C69,CHAR(10)),"-",-1),"km","")))</f>
        <v>312</v>
      </c>
      <c r="E69" s="22">
        <f>97+62+17</f>
        <v>176</v>
      </c>
      <c r="F69" s="25">
        <f t="shared" si="14"/>
        <v>3.76146788990826</v>
      </c>
      <c r="G69" s="25">
        <f t="shared" si="15"/>
        <v>4.1</v>
      </c>
      <c r="H69" s="25">
        <f t="shared" si="16"/>
        <v>1173.57798165138</v>
      </c>
      <c r="I69" s="25">
        <f t="shared" si="17"/>
        <v>1279.2</v>
      </c>
      <c r="J69" s="25">
        <f t="shared" si="18"/>
        <v>3.2</v>
      </c>
      <c r="K69" s="25">
        <f t="shared" si="19"/>
        <v>998.4</v>
      </c>
      <c r="L69" s="22"/>
      <c r="M69" s="22"/>
      <c r="N69" s="22"/>
      <c r="O69" s="18">
        <v>315</v>
      </c>
      <c r="P69" s="18">
        <f t="shared" si="20"/>
        <v>-3</v>
      </c>
    </row>
    <row r="70" s="18" customFormat="1" ht="57" spans="1:16">
      <c r="A70" s="22">
        <v>66</v>
      </c>
      <c r="B70" s="29">
        <v>45944</v>
      </c>
      <c r="C70" s="24" t="s">
        <v>79</v>
      </c>
      <c r="D70" s="22" cm="1">
        <f t="array" ref="D70">SUM(VALUE(SUBSTITUTE(_xlfn.TEXTAFTER(_xlfn.TEXTSPLIT(C70,CHAR(10)),"-",-1),"km","")))</f>
        <v>247.8</v>
      </c>
      <c r="E70" s="18">
        <f>86+10+12+10</f>
        <v>118</v>
      </c>
      <c r="F70" s="25">
        <f t="shared" si="14"/>
        <v>3.94495412844037</v>
      </c>
      <c r="G70" s="25">
        <f t="shared" si="15"/>
        <v>4.3</v>
      </c>
      <c r="H70" s="25">
        <f t="shared" si="16"/>
        <v>977.559633027523</v>
      </c>
      <c r="I70" s="25">
        <f t="shared" si="17"/>
        <v>1065.54</v>
      </c>
      <c r="J70" s="25">
        <f t="shared" si="18"/>
        <v>3.5</v>
      </c>
      <c r="K70" s="25">
        <f t="shared" si="19"/>
        <v>867.3</v>
      </c>
      <c r="L70" s="22"/>
      <c r="M70" s="22"/>
      <c r="N70" s="22"/>
      <c r="O70" s="18">
        <v>235.7</v>
      </c>
      <c r="P70" s="18">
        <f t="shared" si="20"/>
        <v>12.1</v>
      </c>
    </row>
    <row r="71" s="18" customFormat="1" ht="71.25" spans="1:16">
      <c r="A71" s="22">
        <v>67</v>
      </c>
      <c r="B71" s="29">
        <v>45944</v>
      </c>
      <c r="C71" s="24" t="s">
        <v>80</v>
      </c>
      <c r="D71" s="22" cm="1">
        <f t="array" ref="D71">SUM(VALUE(SUBSTITUTE(_xlfn.TEXTAFTER(_xlfn.TEXTSPLIT(C71,CHAR(10)),"-",-1),"km","")))</f>
        <v>274</v>
      </c>
      <c r="E71" s="22">
        <f>157+16</f>
        <v>173</v>
      </c>
      <c r="F71" s="25">
        <f t="shared" si="14"/>
        <v>3.94495412844037</v>
      </c>
      <c r="G71" s="25">
        <f t="shared" si="15"/>
        <v>4.3</v>
      </c>
      <c r="H71" s="25">
        <f t="shared" si="16"/>
        <v>1080.91743119266</v>
      </c>
      <c r="I71" s="25">
        <f t="shared" si="17"/>
        <v>1178.2</v>
      </c>
      <c r="J71" s="25">
        <f t="shared" si="18"/>
        <v>3.5</v>
      </c>
      <c r="K71" s="25">
        <f t="shared" si="19"/>
        <v>959</v>
      </c>
      <c r="L71" s="22"/>
      <c r="M71" s="22"/>
      <c r="N71" s="22"/>
      <c r="O71" s="18">
        <v>272</v>
      </c>
      <c r="P71" s="18">
        <f t="shared" si="20"/>
        <v>2</v>
      </c>
    </row>
    <row r="72" s="18" customFormat="1" ht="28.5" spans="1:16">
      <c r="A72" s="22">
        <v>68</v>
      </c>
      <c r="B72" s="29">
        <v>45944</v>
      </c>
      <c r="C72" s="24" t="s">
        <v>81</v>
      </c>
      <c r="D72" s="22" cm="1">
        <f t="array" ref="D72">SUM(VALUE(SUBSTITUTE(_xlfn.TEXTAFTER(_xlfn.TEXTSPLIT(C72,CHAR(10)),"-",-1),"km","")))</f>
        <v>390</v>
      </c>
      <c r="E72" s="22">
        <f>157+16</f>
        <v>173</v>
      </c>
      <c r="F72" s="25">
        <f t="shared" si="14"/>
        <v>3.76146788990826</v>
      </c>
      <c r="G72" s="25">
        <f t="shared" si="15"/>
        <v>4.1</v>
      </c>
      <c r="H72" s="25">
        <f t="shared" si="16"/>
        <v>1466.97247706422</v>
      </c>
      <c r="I72" s="25">
        <f t="shared" si="17"/>
        <v>1599</v>
      </c>
      <c r="J72" s="25">
        <f t="shared" si="18"/>
        <v>3.2</v>
      </c>
      <c r="K72" s="25">
        <f t="shared" si="19"/>
        <v>1248</v>
      </c>
      <c r="L72" s="22"/>
      <c r="M72" s="22"/>
      <c r="N72" s="22"/>
      <c r="O72" s="18">
        <v>390</v>
      </c>
      <c r="P72" s="18">
        <f t="shared" si="20"/>
        <v>0</v>
      </c>
    </row>
    <row r="73" s="18" customFormat="1" spans="1:16">
      <c r="A73" s="22"/>
      <c r="B73" s="29">
        <v>45945</v>
      </c>
      <c r="C73" s="24" t="s">
        <v>82</v>
      </c>
      <c r="D73" s="22" cm="1">
        <f t="array" ref="D73">SUM(VALUE(SUBSTITUTE(_xlfn.TEXTAFTER(_xlfn.TEXTSPLIT(C73,CHAR(10)),"-",-1),"km","")))</f>
        <v>380</v>
      </c>
      <c r="E73" s="22"/>
      <c r="F73" s="25"/>
      <c r="G73" s="25"/>
      <c r="H73" s="25"/>
      <c r="I73" s="25"/>
      <c r="J73" s="25"/>
      <c r="K73" s="25"/>
      <c r="L73" s="22"/>
      <c r="M73" s="22"/>
      <c r="N73" s="22"/>
      <c r="O73" s="18">
        <v>380</v>
      </c>
      <c r="P73" s="18">
        <f t="shared" si="20"/>
        <v>0</v>
      </c>
    </row>
    <row r="74" s="18" customFormat="1" spans="1:16">
      <c r="A74" s="22"/>
      <c r="B74" s="29">
        <v>45945</v>
      </c>
      <c r="C74" s="24" t="s">
        <v>82</v>
      </c>
      <c r="D74" s="22" cm="1">
        <f t="array" ref="D74">SUM(VALUE(SUBSTITUTE(_xlfn.TEXTAFTER(_xlfn.TEXTSPLIT(C74,CHAR(10)),"-",-1),"km","")))</f>
        <v>380</v>
      </c>
      <c r="E74" s="22"/>
      <c r="F74" s="25"/>
      <c r="G74" s="25"/>
      <c r="H74" s="25"/>
      <c r="I74" s="25"/>
      <c r="J74" s="25"/>
      <c r="K74" s="25"/>
      <c r="L74" s="22"/>
      <c r="M74" s="22"/>
      <c r="N74" s="22"/>
      <c r="O74" s="18">
        <v>380</v>
      </c>
      <c r="P74" s="18">
        <f t="shared" si="20"/>
        <v>0</v>
      </c>
    </row>
    <row r="75" s="18" customFormat="1" ht="71.25" spans="1:16">
      <c r="A75" s="22">
        <v>69</v>
      </c>
      <c r="B75" s="29">
        <v>45945</v>
      </c>
      <c r="C75" s="24" t="s">
        <v>83</v>
      </c>
      <c r="D75" s="22" cm="1">
        <f t="array" ref="D75">SUM(VALUE(SUBSTITUTE(_xlfn.TEXTAFTER(_xlfn.TEXTSPLIT(C75,CHAR(10)),"-",-1),"km","")))</f>
        <v>196</v>
      </c>
      <c r="E75" s="22">
        <f>120+74+34+43</f>
        <v>271</v>
      </c>
      <c r="F75" s="25">
        <f t="shared" ref="F75:F100" si="21">G75/1.09</f>
        <v>4.12844036697248</v>
      </c>
      <c r="G75" s="25">
        <f t="shared" ref="G75:G103" si="22">IF(D75&gt;=301,4.1,IF(D75&gt;=201,4.3,IF(D75&gt;=101,4.5,"")))</f>
        <v>4.5</v>
      </c>
      <c r="H75" s="25">
        <f t="shared" ref="H75:H100" si="23">D75*F75</f>
        <v>809.174311926605</v>
      </c>
      <c r="I75" s="25">
        <f t="shared" ref="I75:I100" si="24">D75*G75</f>
        <v>882</v>
      </c>
      <c r="J75" s="25">
        <f t="shared" ref="J75:J103" si="25">IF(D75&gt;=301,3.2,IF(D75&gt;=201,3.5,IF(D75&gt;=101,3.5,"")))</f>
        <v>3.5</v>
      </c>
      <c r="K75" s="25">
        <f t="shared" ref="K75:K100" si="26">D75*J75</f>
        <v>686</v>
      </c>
      <c r="L75" s="22"/>
      <c r="M75" s="22"/>
      <c r="N75" s="22"/>
      <c r="O75" s="18">
        <v>192.5</v>
      </c>
      <c r="P75" s="18">
        <f t="shared" si="20"/>
        <v>3.5</v>
      </c>
    </row>
    <row r="76" s="18" customFormat="1" ht="85.5" spans="1:16">
      <c r="A76" s="22">
        <v>70</v>
      </c>
      <c r="B76" s="29">
        <v>45945</v>
      </c>
      <c r="C76" s="33" t="s">
        <v>84</v>
      </c>
      <c r="D76" s="22" cm="1">
        <f t="array" ref="D76">SUM(VALUE(SUBSTITUTE(_xlfn.TEXTAFTER(_xlfn.TEXTSPLIT(C76,CHAR(10)),"-",-1),"km","")))</f>
        <v>185</v>
      </c>
      <c r="E76" s="22">
        <f>127+59+42+42+50</f>
        <v>320</v>
      </c>
      <c r="F76" s="25">
        <f t="shared" si="21"/>
        <v>4.12844036697248</v>
      </c>
      <c r="G76" s="25">
        <f t="shared" si="22"/>
        <v>4.5</v>
      </c>
      <c r="H76" s="25">
        <f t="shared" si="23"/>
        <v>763.761467889908</v>
      </c>
      <c r="I76" s="25">
        <f t="shared" si="24"/>
        <v>832.5</v>
      </c>
      <c r="J76" s="25">
        <f t="shared" si="25"/>
        <v>3.5</v>
      </c>
      <c r="K76" s="25">
        <f t="shared" si="26"/>
        <v>647.5</v>
      </c>
      <c r="L76" s="22"/>
      <c r="M76" s="22"/>
      <c r="N76" s="22"/>
      <c r="O76" s="18">
        <v>180</v>
      </c>
      <c r="P76" s="18">
        <f t="shared" si="20"/>
        <v>5</v>
      </c>
    </row>
    <row r="77" s="18" customFormat="1" ht="85.5" spans="1:16">
      <c r="A77" s="22">
        <v>71</v>
      </c>
      <c r="B77" s="29">
        <v>45945</v>
      </c>
      <c r="C77" s="24" t="s">
        <v>85</v>
      </c>
      <c r="D77" s="22" cm="1">
        <f t="array" ref="D77">SUM(VALUE(SUBSTITUTE(_xlfn.TEXTAFTER(_xlfn.TEXTSPLIT(C77,CHAR(10)),"-",-1),"km","")))</f>
        <v>247.1</v>
      </c>
      <c r="E77" s="22">
        <f>127+59+42+42+50</f>
        <v>320</v>
      </c>
      <c r="F77" s="25">
        <f t="shared" si="21"/>
        <v>3.94495412844037</v>
      </c>
      <c r="G77" s="25">
        <f t="shared" si="22"/>
        <v>4.3</v>
      </c>
      <c r="H77" s="25">
        <f t="shared" si="23"/>
        <v>974.798165137615</v>
      </c>
      <c r="I77" s="25">
        <f t="shared" si="24"/>
        <v>1062.53</v>
      </c>
      <c r="J77" s="25">
        <f t="shared" si="25"/>
        <v>3.5</v>
      </c>
      <c r="K77" s="25">
        <f t="shared" si="26"/>
        <v>864.85</v>
      </c>
      <c r="L77" s="22"/>
      <c r="M77" s="22"/>
      <c r="N77" s="22"/>
      <c r="O77" s="18">
        <v>226.3</v>
      </c>
      <c r="P77" s="18">
        <f t="shared" si="20"/>
        <v>20.8</v>
      </c>
    </row>
    <row r="78" s="18" customFormat="1" ht="71.25" spans="1:16">
      <c r="A78" s="22">
        <v>72</v>
      </c>
      <c r="B78" s="29">
        <v>45945</v>
      </c>
      <c r="C78" s="24" t="s">
        <v>86</v>
      </c>
      <c r="D78" s="22" cm="1">
        <f t="array" ref="D78">SUM(VALUE(SUBSTITUTE(_xlfn.TEXTAFTER(_xlfn.TEXTSPLIT(C78,CHAR(10)),"-",-1),"km","")))</f>
        <v>253.2</v>
      </c>
      <c r="E78" s="22">
        <f>98+137+9.5+59+47</f>
        <v>350.5</v>
      </c>
      <c r="F78" s="25">
        <f t="shared" si="21"/>
        <v>3.94495412844037</v>
      </c>
      <c r="G78" s="25">
        <f t="shared" si="22"/>
        <v>4.3</v>
      </c>
      <c r="H78" s="25">
        <f t="shared" si="23"/>
        <v>998.862385321101</v>
      </c>
      <c r="I78" s="25">
        <f t="shared" si="24"/>
        <v>1088.76</v>
      </c>
      <c r="J78" s="25">
        <f t="shared" si="25"/>
        <v>3.5</v>
      </c>
      <c r="K78" s="25">
        <f t="shared" si="26"/>
        <v>886.2</v>
      </c>
      <c r="L78" s="22"/>
      <c r="M78" s="22"/>
      <c r="N78" s="22"/>
      <c r="O78" s="18">
        <v>245</v>
      </c>
      <c r="P78" s="18">
        <f t="shared" si="20"/>
        <v>8.20000000000002</v>
      </c>
    </row>
    <row r="79" s="18" customFormat="1" ht="85.5" spans="1:16">
      <c r="A79" s="22">
        <v>73</v>
      </c>
      <c r="B79" s="29">
        <v>45946</v>
      </c>
      <c r="C79" s="24" t="s">
        <v>87</v>
      </c>
      <c r="D79" s="22" cm="1">
        <f t="array" ref="D79">SUM(VALUE(SUBSTITUTE(_xlfn.TEXTAFTER(_xlfn.TEXTSPLIT(C79,CHAR(10)),"-",-1),"km","")))</f>
        <v>353.8</v>
      </c>
      <c r="E79" s="22">
        <f>184+32+4.5+6.7+9.3</f>
        <v>236.5</v>
      </c>
      <c r="F79" s="25">
        <f t="shared" si="21"/>
        <v>3.76146788990826</v>
      </c>
      <c r="G79" s="25">
        <f t="shared" si="22"/>
        <v>4.1</v>
      </c>
      <c r="H79" s="25">
        <f t="shared" si="23"/>
        <v>1330.80733944954</v>
      </c>
      <c r="I79" s="25">
        <f t="shared" si="24"/>
        <v>1450.58</v>
      </c>
      <c r="J79" s="25">
        <f t="shared" si="25"/>
        <v>3.2</v>
      </c>
      <c r="K79" s="25">
        <f t="shared" si="26"/>
        <v>1132.16</v>
      </c>
      <c r="L79" s="22"/>
      <c r="M79" s="22"/>
      <c r="N79" s="22"/>
      <c r="O79" s="18">
        <v>346.7</v>
      </c>
      <c r="P79" s="18">
        <f t="shared" si="20"/>
        <v>7.10000000000002</v>
      </c>
    </row>
    <row r="80" s="18" customFormat="1" ht="114" spans="1:16">
      <c r="A80" s="22">
        <v>74</v>
      </c>
      <c r="B80" s="29">
        <v>45946</v>
      </c>
      <c r="C80" s="24" t="s">
        <v>88</v>
      </c>
      <c r="D80" s="22" cm="1">
        <f t="array" ref="D80">SUM(VALUE(SUBSTITUTE(_xlfn.TEXTAFTER(_xlfn.TEXTSPLIT(C80,CHAR(10)),"-",-1),"km","")))</f>
        <v>647</v>
      </c>
      <c r="E80" s="22">
        <f>86+10+12+10+6</f>
        <v>124</v>
      </c>
      <c r="F80" s="25">
        <f t="shared" si="21"/>
        <v>3.76146788990826</v>
      </c>
      <c r="G80" s="25">
        <f t="shared" si="22"/>
        <v>4.1</v>
      </c>
      <c r="H80" s="25">
        <f t="shared" si="23"/>
        <v>2433.66972477064</v>
      </c>
      <c r="I80" s="25">
        <f t="shared" si="24"/>
        <v>2652.7</v>
      </c>
      <c r="J80" s="25">
        <f t="shared" si="25"/>
        <v>3.2</v>
      </c>
      <c r="K80" s="25">
        <f t="shared" si="26"/>
        <v>2070.4</v>
      </c>
      <c r="L80" s="22"/>
      <c r="M80" s="22"/>
      <c r="N80" s="22"/>
      <c r="O80" s="18">
        <v>642</v>
      </c>
      <c r="P80" s="18">
        <f t="shared" si="20"/>
        <v>5</v>
      </c>
    </row>
    <row r="81" s="18" customFormat="1" ht="114" spans="1:16">
      <c r="A81" s="22">
        <v>75</v>
      </c>
      <c r="B81" s="29">
        <v>45946</v>
      </c>
      <c r="C81" s="24" t="s">
        <v>89</v>
      </c>
      <c r="D81" s="22" cm="1">
        <f t="array" ref="D81">SUM(VALUE(SUBSTITUTE(_xlfn.TEXTAFTER(_xlfn.TEXTSPLIT(C81,CHAR(10)),"-",-1),"km","")))</f>
        <v>510</v>
      </c>
      <c r="E81" s="22">
        <v>1</v>
      </c>
      <c r="F81" s="25">
        <f t="shared" si="21"/>
        <v>3.76146788990826</v>
      </c>
      <c r="G81" s="25">
        <f t="shared" si="22"/>
        <v>4.1</v>
      </c>
      <c r="H81" s="25">
        <f t="shared" si="23"/>
        <v>1918.34862385321</v>
      </c>
      <c r="I81" s="25">
        <f t="shared" si="24"/>
        <v>2091</v>
      </c>
      <c r="J81" s="25">
        <f t="shared" si="25"/>
        <v>3.2</v>
      </c>
      <c r="K81" s="25">
        <f t="shared" si="26"/>
        <v>1632</v>
      </c>
      <c r="L81" s="22"/>
      <c r="M81" s="22"/>
      <c r="N81" s="22"/>
      <c r="O81" s="18">
        <v>499</v>
      </c>
      <c r="P81" s="18">
        <f t="shared" si="20"/>
        <v>11</v>
      </c>
    </row>
    <row r="82" s="18" customFormat="1" ht="85.5" spans="1:16">
      <c r="A82" s="22">
        <v>76</v>
      </c>
      <c r="B82" s="29">
        <v>45947</v>
      </c>
      <c r="C82" s="24" t="s">
        <v>90</v>
      </c>
      <c r="D82" s="22" cm="1">
        <f t="array" ref="D82">SUM(VALUE(SUBSTITUTE(_xlfn.TEXTAFTER(_xlfn.TEXTSPLIT(C82,CHAR(10)),"-",-1),"km","")))</f>
        <v>220</v>
      </c>
      <c r="E82" s="22">
        <f>157+16</f>
        <v>173</v>
      </c>
      <c r="F82" s="25">
        <f t="shared" si="21"/>
        <v>3.94495412844037</v>
      </c>
      <c r="G82" s="25">
        <f t="shared" si="22"/>
        <v>4.3</v>
      </c>
      <c r="H82" s="25">
        <f t="shared" si="23"/>
        <v>867.889908256881</v>
      </c>
      <c r="I82" s="25">
        <f t="shared" si="24"/>
        <v>946</v>
      </c>
      <c r="J82" s="25">
        <f t="shared" si="25"/>
        <v>3.5</v>
      </c>
      <c r="K82" s="25">
        <f t="shared" si="26"/>
        <v>770</v>
      </c>
      <c r="L82" s="22"/>
      <c r="M82" s="22"/>
      <c r="N82" s="22"/>
      <c r="O82" s="18">
        <v>220.6</v>
      </c>
      <c r="P82" s="18">
        <f t="shared" si="20"/>
        <v>-0.599999999999994</v>
      </c>
    </row>
    <row r="83" s="18" customFormat="1" ht="85.5" spans="1:16">
      <c r="A83" s="22">
        <v>77</v>
      </c>
      <c r="B83" s="29">
        <v>45947</v>
      </c>
      <c r="C83" s="24" t="s">
        <v>91</v>
      </c>
      <c r="D83" s="22" cm="1">
        <f t="array" ref="D83">SUM(VALUE(SUBSTITUTE(_xlfn.TEXTAFTER(_xlfn.TEXTSPLIT(C83,CHAR(10)),"-",-1),"km","")))</f>
        <v>215.8</v>
      </c>
      <c r="E83" s="22">
        <f>129+17+58</f>
        <v>204</v>
      </c>
      <c r="F83" s="25">
        <f t="shared" si="21"/>
        <v>3.94495412844037</v>
      </c>
      <c r="G83" s="25">
        <f t="shared" si="22"/>
        <v>4.3</v>
      </c>
      <c r="H83" s="25">
        <f t="shared" si="23"/>
        <v>851.321100917431</v>
      </c>
      <c r="I83" s="25">
        <f t="shared" si="24"/>
        <v>927.94</v>
      </c>
      <c r="J83" s="25">
        <f t="shared" si="25"/>
        <v>3.5</v>
      </c>
      <c r="K83" s="25">
        <f t="shared" si="26"/>
        <v>755.3</v>
      </c>
      <c r="L83" s="22"/>
      <c r="M83" s="22"/>
      <c r="N83" s="22"/>
      <c r="O83" s="18">
        <v>208</v>
      </c>
      <c r="P83" s="18">
        <f t="shared" si="20"/>
        <v>7.80000000000001</v>
      </c>
    </row>
    <row r="84" s="18" customFormat="1" ht="71.25" spans="1:16">
      <c r="A84" s="22">
        <v>78</v>
      </c>
      <c r="B84" s="29">
        <v>45947</v>
      </c>
      <c r="C84" s="24" t="s">
        <v>92</v>
      </c>
      <c r="D84" s="22" cm="1">
        <f t="array" ref="D84">SUM(VALUE(SUBSTITUTE(_xlfn.TEXTAFTER(_xlfn.TEXTSPLIT(C84,CHAR(10)),"-",-1),"km","")))</f>
        <v>186.5</v>
      </c>
      <c r="E84" s="22">
        <f>167+38+3.6+39+50</f>
        <v>297.6</v>
      </c>
      <c r="F84" s="25">
        <f t="shared" si="21"/>
        <v>4.12844036697248</v>
      </c>
      <c r="G84" s="25">
        <f t="shared" si="22"/>
        <v>4.5</v>
      </c>
      <c r="H84" s="25">
        <f t="shared" si="23"/>
        <v>769.954128440367</v>
      </c>
      <c r="I84" s="25">
        <f t="shared" si="24"/>
        <v>839.25</v>
      </c>
      <c r="J84" s="25">
        <f t="shared" si="25"/>
        <v>3.5</v>
      </c>
      <c r="K84" s="25">
        <f t="shared" si="26"/>
        <v>652.75</v>
      </c>
      <c r="L84" s="22"/>
      <c r="M84" s="22"/>
      <c r="N84" s="22"/>
      <c r="O84" s="18">
        <v>181</v>
      </c>
      <c r="P84" s="18">
        <f t="shared" si="20"/>
        <v>5.5</v>
      </c>
    </row>
    <row r="85" s="18" customFormat="1" ht="71.25" spans="1:16">
      <c r="A85" s="22">
        <v>79</v>
      </c>
      <c r="B85" s="29">
        <v>45947</v>
      </c>
      <c r="C85" s="24" t="s">
        <v>93</v>
      </c>
      <c r="D85" s="22" cm="1">
        <f t="array" ref="D85">SUM(VALUE(SUBSTITUTE(_xlfn.TEXTAFTER(_xlfn.TEXTSPLIT(C85,CHAR(10)),"-",-1),"km","")))</f>
        <v>211.5</v>
      </c>
      <c r="E85" s="22">
        <f>180+16+9.5+59+47</f>
        <v>311.5</v>
      </c>
      <c r="F85" s="25">
        <f t="shared" si="21"/>
        <v>3.94495412844037</v>
      </c>
      <c r="G85" s="25">
        <f t="shared" si="22"/>
        <v>4.3</v>
      </c>
      <c r="H85" s="25">
        <f t="shared" si="23"/>
        <v>834.357798165138</v>
      </c>
      <c r="I85" s="25">
        <f t="shared" si="24"/>
        <v>909.45</v>
      </c>
      <c r="J85" s="25">
        <f t="shared" si="25"/>
        <v>3.5</v>
      </c>
      <c r="K85" s="25">
        <f t="shared" si="26"/>
        <v>740.25</v>
      </c>
      <c r="L85" s="22"/>
      <c r="M85" s="22"/>
      <c r="N85" s="22"/>
      <c r="O85" s="18">
        <v>206.6</v>
      </c>
      <c r="P85" s="18">
        <f t="shared" ref="P85:P102" si="27">D85-O85</f>
        <v>4.90000000000001</v>
      </c>
    </row>
    <row r="86" s="18" customFormat="1" ht="71.25" spans="1:16">
      <c r="A86" s="22">
        <v>80</v>
      </c>
      <c r="B86" s="29">
        <v>45947</v>
      </c>
      <c r="C86" s="24" t="s">
        <v>94</v>
      </c>
      <c r="D86" s="22" cm="1">
        <f t="array" ref="D86">SUM(VALUE(SUBSTITUTE(_xlfn.TEXTAFTER(_xlfn.TEXTSPLIT(C86,CHAR(10)),"-",-1),"km","")))</f>
        <v>167.7</v>
      </c>
      <c r="E86" s="22">
        <f>120+55+62+34+43</f>
        <v>314</v>
      </c>
      <c r="F86" s="25">
        <f t="shared" si="21"/>
        <v>4.12844036697248</v>
      </c>
      <c r="G86" s="25">
        <f t="shared" si="22"/>
        <v>4.5</v>
      </c>
      <c r="H86" s="25">
        <f t="shared" si="23"/>
        <v>692.339449541284</v>
      </c>
      <c r="I86" s="25">
        <f t="shared" si="24"/>
        <v>754.65</v>
      </c>
      <c r="J86" s="25">
        <f t="shared" si="25"/>
        <v>3.5</v>
      </c>
      <c r="K86" s="25">
        <f t="shared" si="26"/>
        <v>586.95</v>
      </c>
      <c r="L86" s="22"/>
      <c r="M86" s="22"/>
      <c r="N86" s="22"/>
      <c r="O86" s="18">
        <v>164</v>
      </c>
      <c r="P86" s="18">
        <f t="shared" si="27"/>
        <v>3.69999999999999</v>
      </c>
    </row>
    <row r="87" s="18" customFormat="1" ht="85.5" spans="1:16">
      <c r="A87" s="22">
        <v>81</v>
      </c>
      <c r="B87" s="29">
        <v>45948</v>
      </c>
      <c r="C87" s="24" t="s">
        <v>95</v>
      </c>
      <c r="D87" s="22" cm="1">
        <f t="array" ref="D87">SUM(VALUE(SUBSTITUTE(_xlfn.TEXTAFTER(_xlfn.TEXTSPLIT(C87,CHAR(10)),"-",-1),"km","")))</f>
        <v>339.7</v>
      </c>
      <c r="E87" s="22">
        <f>101+6+62+17</f>
        <v>186</v>
      </c>
      <c r="F87" s="25">
        <f t="shared" si="21"/>
        <v>3.76146788990826</v>
      </c>
      <c r="G87" s="25">
        <f t="shared" si="22"/>
        <v>4.1</v>
      </c>
      <c r="H87" s="25">
        <f t="shared" si="23"/>
        <v>1277.77064220183</v>
      </c>
      <c r="I87" s="25">
        <f t="shared" si="24"/>
        <v>1392.77</v>
      </c>
      <c r="J87" s="25">
        <f t="shared" si="25"/>
        <v>3.2</v>
      </c>
      <c r="K87" s="25">
        <f t="shared" si="26"/>
        <v>1087.04</v>
      </c>
      <c r="L87" s="22"/>
      <c r="M87" s="22"/>
      <c r="N87" s="22"/>
      <c r="O87" s="18">
        <v>340.5</v>
      </c>
      <c r="P87" s="18">
        <f t="shared" si="27"/>
        <v>-0.800000000000011</v>
      </c>
    </row>
    <row r="88" s="18" customFormat="1" ht="85.5" spans="1:16">
      <c r="A88" s="22">
        <v>82</v>
      </c>
      <c r="B88" s="29">
        <v>45948</v>
      </c>
      <c r="C88" s="24" t="s">
        <v>96</v>
      </c>
      <c r="D88" s="22" cm="1">
        <f t="array" ref="D88">SUM(VALUE(SUBSTITUTE(_xlfn.TEXTAFTER(_xlfn.TEXTSPLIT(C88,CHAR(10)),"-",-1),"km","")))</f>
        <v>342</v>
      </c>
      <c r="E88" s="22">
        <f>18+22+67+10+12</f>
        <v>129</v>
      </c>
      <c r="F88" s="25">
        <f t="shared" si="21"/>
        <v>3.76146788990826</v>
      </c>
      <c r="G88" s="25">
        <f t="shared" si="22"/>
        <v>4.1</v>
      </c>
      <c r="H88" s="25">
        <f t="shared" si="23"/>
        <v>1286.42201834862</v>
      </c>
      <c r="I88" s="25">
        <f t="shared" si="24"/>
        <v>1402.2</v>
      </c>
      <c r="J88" s="25">
        <f t="shared" si="25"/>
        <v>3.2</v>
      </c>
      <c r="K88" s="25">
        <f t="shared" si="26"/>
        <v>1094.4</v>
      </c>
      <c r="L88" s="22"/>
      <c r="M88" s="22"/>
      <c r="N88" s="22"/>
      <c r="O88" s="18">
        <v>332</v>
      </c>
      <c r="P88" s="18">
        <f t="shared" si="27"/>
        <v>10</v>
      </c>
    </row>
    <row r="89" s="18" customFormat="1" ht="71.25" spans="1:16">
      <c r="A89" s="22">
        <v>83</v>
      </c>
      <c r="B89" s="29">
        <v>45948</v>
      </c>
      <c r="C89" s="24" t="s">
        <v>97</v>
      </c>
      <c r="D89" s="22" cm="1">
        <f t="array" ref="D89">SUM(VALUE(SUBSTITUTE(_xlfn.TEXTAFTER(_xlfn.TEXTSPLIT(C89,CHAR(10)),"-",-1),"km","")))</f>
        <v>378.8</v>
      </c>
      <c r="E89" s="22">
        <f>18+22+67+10+12</f>
        <v>129</v>
      </c>
      <c r="F89" s="25">
        <f t="shared" si="21"/>
        <v>3.76146788990826</v>
      </c>
      <c r="G89" s="25">
        <f t="shared" si="22"/>
        <v>4.1</v>
      </c>
      <c r="H89" s="25">
        <f t="shared" si="23"/>
        <v>1424.84403669725</v>
      </c>
      <c r="I89" s="25">
        <f t="shared" si="24"/>
        <v>1553.08</v>
      </c>
      <c r="J89" s="25">
        <f t="shared" si="25"/>
        <v>3.2</v>
      </c>
      <c r="K89" s="25">
        <f t="shared" si="26"/>
        <v>1212.16</v>
      </c>
      <c r="L89" s="22"/>
      <c r="M89" s="22"/>
      <c r="N89" s="22"/>
      <c r="O89" s="18">
        <v>375.7</v>
      </c>
      <c r="P89" s="18">
        <f t="shared" si="27"/>
        <v>3.10000000000002</v>
      </c>
    </row>
    <row r="90" s="18" customFormat="1" ht="85.5" spans="1:16">
      <c r="A90" s="22">
        <v>84</v>
      </c>
      <c r="B90" s="29">
        <v>45948</v>
      </c>
      <c r="C90" s="24" t="s">
        <v>98</v>
      </c>
      <c r="D90" s="22" cm="1">
        <f t="array" ref="D90">SUM(VALUE(SUBSTITUTE(_xlfn.TEXTAFTER(_xlfn.TEXTSPLIT(C90,CHAR(10)),"-",-1),"km","")))</f>
        <v>675</v>
      </c>
      <c r="E90" s="22">
        <f>18+22+67+10+12</f>
        <v>129</v>
      </c>
      <c r="F90" s="25">
        <f t="shared" si="21"/>
        <v>3.76146788990826</v>
      </c>
      <c r="G90" s="25">
        <f t="shared" si="22"/>
        <v>4.1</v>
      </c>
      <c r="H90" s="25">
        <f t="shared" si="23"/>
        <v>2538.99082568807</v>
      </c>
      <c r="I90" s="25">
        <f t="shared" si="24"/>
        <v>2767.5</v>
      </c>
      <c r="J90" s="25">
        <f t="shared" si="25"/>
        <v>3.2</v>
      </c>
      <c r="K90" s="25">
        <f t="shared" si="26"/>
        <v>2160</v>
      </c>
      <c r="L90" s="22"/>
      <c r="M90" s="22"/>
      <c r="N90" s="22"/>
      <c r="O90" s="18">
        <v>680</v>
      </c>
      <c r="P90" s="18">
        <f t="shared" si="27"/>
        <v>-5</v>
      </c>
    </row>
    <row r="91" s="18" customFormat="1" ht="57" spans="1:16">
      <c r="A91" s="22">
        <v>85</v>
      </c>
      <c r="B91" s="29">
        <v>45949</v>
      </c>
      <c r="C91" s="24" t="s">
        <v>99</v>
      </c>
      <c r="D91" s="22" cm="1">
        <f t="array" ref="D91">SUM(VALUE(SUBSTITUTE(_xlfn.TEXTAFTER(_xlfn.TEXTSPLIT(C91,CHAR(10)),"-",-1),"km","")))</f>
        <v>162.4</v>
      </c>
      <c r="E91" s="22">
        <f>152+7.9+3.1+16+58</f>
        <v>237</v>
      </c>
      <c r="F91" s="25">
        <f t="shared" si="21"/>
        <v>4.12844036697248</v>
      </c>
      <c r="G91" s="25">
        <f t="shared" si="22"/>
        <v>4.5</v>
      </c>
      <c r="H91" s="25">
        <f t="shared" si="23"/>
        <v>670.45871559633</v>
      </c>
      <c r="I91" s="25">
        <f t="shared" si="24"/>
        <v>730.8</v>
      </c>
      <c r="J91" s="25">
        <f t="shared" si="25"/>
        <v>3.5</v>
      </c>
      <c r="K91" s="25">
        <f t="shared" si="26"/>
        <v>568.4</v>
      </c>
      <c r="L91" s="22"/>
      <c r="M91" s="22"/>
      <c r="N91" s="22"/>
      <c r="O91" s="18">
        <v>162.2</v>
      </c>
      <c r="P91" s="18">
        <f t="shared" si="27"/>
        <v>0.200000000000017</v>
      </c>
    </row>
    <row r="92" s="18" customFormat="1" ht="57" spans="1:16">
      <c r="A92" s="22">
        <v>86</v>
      </c>
      <c r="B92" s="29">
        <v>45950</v>
      </c>
      <c r="C92" s="24" t="s">
        <v>100</v>
      </c>
      <c r="D92" s="22" cm="1">
        <f t="array" ref="D92">SUM(VALUE(SUBSTITUTE(_xlfn.TEXTAFTER(_xlfn.TEXTSPLIT(C92,CHAR(10)),"-",-1),"km","")))</f>
        <v>160.7</v>
      </c>
      <c r="E92" s="22">
        <f>120+91+42+60</f>
        <v>313</v>
      </c>
      <c r="F92" s="25">
        <f t="shared" si="21"/>
        <v>4.12844036697248</v>
      </c>
      <c r="G92" s="25">
        <f t="shared" si="22"/>
        <v>4.5</v>
      </c>
      <c r="H92" s="25">
        <f t="shared" si="23"/>
        <v>663.440366972477</v>
      </c>
      <c r="I92" s="25">
        <f t="shared" si="24"/>
        <v>723.15</v>
      </c>
      <c r="J92" s="25">
        <f t="shared" si="25"/>
        <v>3.5</v>
      </c>
      <c r="K92" s="25">
        <f t="shared" si="26"/>
        <v>562.45</v>
      </c>
      <c r="L92" s="22"/>
      <c r="M92" s="22"/>
      <c r="N92" s="22"/>
      <c r="O92" s="18">
        <v>162</v>
      </c>
      <c r="P92" s="18">
        <f t="shared" si="27"/>
        <v>-1.30000000000001</v>
      </c>
    </row>
    <row r="93" s="18" customFormat="1" ht="71.25" spans="1:16">
      <c r="A93" s="22">
        <v>87</v>
      </c>
      <c r="B93" s="29">
        <v>45950</v>
      </c>
      <c r="C93" s="24" t="s">
        <v>101</v>
      </c>
      <c r="D93" s="22" cm="1">
        <f t="array" ref="D93">SUM(VALUE(SUBSTITUTE(_xlfn.TEXTAFTER(_xlfn.TEXTSPLIT(C93,CHAR(10)),"-",-1),"km","")))</f>
        <v>222</v>
      </c>
      <c r="E93" s="22">
        <f>189+3.6+39+45</f>
        <v>276.6</v>
      </c>
      <c r="F93" s="25">
        <f t="shared" si="21"/>
        <v>3.94495412844037</v>
      </c>
      <c r="G93" s="25">
        <f t="shared" si="22"/>
        <v>4.3</v>
      </c>
      <c r="H93" s="25">
        <f t="shared" si="23"/>
        <v>875.779816513761</v>
      </c>
      <c r="I93" s="25">
        <f t="shared" si="24"/>
        <v>954.6</v>
      </c>
      <c r="J93" s="25">
        <f t="shared" si="25"/>
        <v>3.5</v>
      </c>
      <c r="K93" s="25">
        <f t="shared" si="26"/>
        <v>777</v>
      </c>
      <c r="L93" s="22"/>
      <c r="M93" s="22"/>
      <c r="N93" s="22"/>
      <c r="O93" s="18">
        <v>220.6</v>
      </c>
      <c r="P93" s="18">
        <f t="shared" si="27"/>
        <v>1.40000000000001</v>
      </c>
    </row>
    <row r="94" s="18" customFormat="1" ht="57" spans="1:16">
      <c r="A94" s="22">
        <v>88</v>
      </c>
      <c r="B94" s="29">
        <v>45950</v>
      </c>
      <c r="C94" s="24" t="s">
        <v>102</v>
      </c>
      <c r="D94" s="22" cm="1">
        <f t="array" ref="D94">SUM(VALUE(SUBSTITUTE(_xlfn.TEXTAFTER(_xlfn.TEXTSPLIT(C94,CHAR(10)),"-",-1),"km","")))</f>
        <v>180.6</v>
      </c>
      <c r="E94" s="22">
        <f>160+81</f>
        <v>241</v>
      </c>
      <c r="F94" s="25">
        <f t="shared" si="21"/>
        <v>4.12844036697248</v>
      </c>
      <c r="G94" s="25">
        <f t="shared" si="22"/>
        <v>4.5</v>
      </c>
      <c r="H94" s="25">
        <f t="shared" si="23"/>
        <v>745.596330275229</v>
      </c>
      <c r="I94" s="25">
        <f t="shared" si="24"/>
        <v>812.7</v>
      </c>
      <c r="J94" s="25">
        <f t="shared" si="25"/>
        <v>3.5</v>
      </c>
      <c r="K94" s="25">
        <f t="shared" si="26"/>
        <v>632.1</v>
      </c>
      <c r="L94" s="22"/>
      <c r="M94" s="22"/>
      <c r="N94" s="22"/>
      <c r="O94" s="18">
        <v>169.8</v>
      </c>
      <c r="P94" s="18">
        <f t="shared" si="27"/>
        <v>10.8</v>
      </c>
    </row>
    <row r="95" s="18" customFormat="1" ht="85.5" spans="1:16">
      <c r="A95" s="22">
        <v>89</v>
      </c>
      <c r="B95" s="29">
        <v>45950</v>
      </c>
      <c r="C95" s="24" t="s">
        <v>103</v>
      </c>
      <c r="D95" s="22" cm="1">
        <f t="array" ref="D95">SUM(VALUE(SUBSTITUTE(_xlfn.TEXTAFTER(_xlfn.TEXTSPLIT(C95,CHAR(10)),"-",-1),"km","")))</f>
        <v>193.7</v>
      </c>
      <c r="E95" s="22">
        <f>171+34+43</f>
        <v>248</v>
      </c>
      <c r="F95" s="25">
        <f t="shared" si="21"/>
        <v>4.12844036697248</v>
      </c>
      <c r="G95" s="25">
        <f t="shared" si="22"/>
        <v>4.5</v>
      </c>
      <c r="H95" s="25">
        <f t="shared" si="23"/>
        <v>799.678899082569</v>
      </c>
      <c r="I95" s="25">
        <f t="shared" si="24"/>
        <v>871.65</v>
      </c>
      <c r="J95" s="25">
        <f t="shared" si="25"/>
        <v>3.5</v>
      </c>
      <c r="K95" s="25">
        <f t="shared" si="26"/>
        <v>677.95</v>
      </c>
      <c r="L95" s="22"/>
      <c r="M95" s="22"/>
      <c r="N95" s="22"/>
      <c r="O95" s="18">
        <v>186.2</v>
      </c>
      <c r="P95" s="18">
        <f t="shared" si="27"/>
        <v>7.5</v>
      </c>
    </row>
    <row r="96" s="18" customFormat="1" ht="28.5" spans="1:16">
      <c r="A96" s="22">
        <v>90</v>
      </c>
      <c r="B96" s="29">
        <v>45951</v>
      </c>
      <c r="C96" s="24" t="s">
        <v>104</v>
      </c>
      <c r="D96" s="22" cm="1">
        <f t="array" ref="D96">SUM(VALUE(SUBSTITUTE(_xlfn.TEXTAFTER(_xlfn.TEXTSPLIT(C96,CHAR(10)),"-",-1),"km","")))</f>
        <v>418</v>
      </c>
      <c r="E96" s="22">
        <f>180+17+59+47</f>
        <v>303</v>
      </c>
      <c r="F96" s="25">
        <f t="shared" si="21"/>
        <v>3.76146788990826</v>
      </c>
      <c r="G96" s="25">
        <f t="shared" si="22"/>
        <v>4.1</v>
      </c>
      <c r="H96" s="25">
        <f t="shared" si="23"/>
        <v>1572.29357798165</v>
      </c>
      <c r="I96" s="25">
        <f t="shared" si="24"/>
        <v>1713.8</v>
      </c>
      <c r="J96" s="25">
        <f t="shared" si="25"/>
        <v>3.2</v>
      </c>
      <c r="K96" s="25">
        <f t="shared" si="26"/>
        <v>1337.6</v>
      </c>
      <c r="L96" s="22"/>
      <c r="M96" s="22"/>
      <c r="N96" s="22"/>
      <c r="O96" s="18">
        <v>420</v>
      </c>
      <c r="P96" s="18">
        <f t="shared" si="27"/>
        <v>-2</v>
      </c>
    </row>
    <row r="97" s="18" customFormat="1" ht="71.25" spans="1:16">
      <c r="A97" s="22">
        <v>91</v>
      </c>
      <c r="B97" s="29">
        <v>45951</v>
      </c>
      <c r="C97" s="24" t="s">
        <v>105</v>
      </c>
      <c r="D97" s="22" cm="1">
        <f t="array" ref="D97">SUM(VALUE(SUBSTITUTE(_xlfn.TEXTAFTER(_xlfn.TEXTSPLIT(C97,CHAR(10)),"-",-1),"km","")))</f>
        <v>355</v>
      </c>
      <c r="E97" s="22">
        <f>86+10+12+10</f>
        <v>118</v>
      </c>
      <c r="F97" s="25">
        <f t="shared" si="21"/>
        <v>3.76146788990826</v>
      </c>
      <c r="G97" s="25">
        <f t="shared" si="22"/>
        <v>4.1</v>
      </c>
      <c r="H97" s="25">
        <f t="shared" si="23"/>
        <v>1335.32110091743</v>
      </c>
      <c r="I97" s="25">
        <f t="shared" si="24"/>
        <v>1455.5</v>
      </c>
      <c r="J97" s="25">
        <f t="shared" si="25"/>
        <v>3.2</v>
      </c>
      <c r="K97" s="25">
        <f t="shared" si="26"/>
        <v>1136</v>
      </c>
      <c r="L97" s="22"/>
      <c r="M97" s="22"/>
      <c r="N97" s="22"/>
      <c r="O97" s="18">
        <v>357</v>
      </c>
      <c r="P97" s="18">
        <f t="shared" si="27"/>
        <v>-2</v>
      </c>
    </row>
    <row r="98" s="18" customFormat="1" ht="71.25" spans="1:16">
      <c r="A98" s="22">
        <v>92</v>
      </c>
      <c r="B98" s="29">
        <v>45951</v>
      </c>
      <c r="C98" s="24" t="s">
        <v>106</v>
      </c>
      <c r="D98" s="22" cm="1">
        <f t="array" ref="D98">SUM(VALUE(SUBSTITUTE(_xlfn.TEXTAFTER(_xlfn.TEXTSPLIT(C98,CHAR(10)),"-",-1),"km","")))</f>
        <v>551</v>
      </c>
      <c r="E98" s="22">
        <f>42+74+65+17</f>
        <v>198</v>
      </c>
      <c r="F98" s="25">
        <f t="shared" si="21"/>
        <v>3.76146788990826</v>
      </c>
      <c r="G98" s="25">
        <f t="shared" si="22"/>
        <v>4.1</v>
      </c>
      <c r="H98" s="25">
        <f t="shared" si="23"/>
        <v>2072.56880733945</v>
      </c>
      <c r="I98" s="25">
        <f t="shared" si="24"/>
        <v>2259.1</v>
      </c>
      <c r="J98" s="25">
        <f t="shared" si="25"/>
        <v>3.2</v>
      </c>
      <c r="K98" s="25">
        <f t="shared" si="26"/>
        <v>1763.2</v>
      </c>
      <c r="L98" s="22"/>
      <c r="M98" s="22"/>
      <c r="N98" s="22"/>
      <c r="O98" s="18">
        <v>552</v>
      </c>
      <c r="P98" s="18">
        <f t="shared" si="27"/>
        <v>-1</v>
      </c>
    </row>
    <row r="99" s="18" customFormat="1" ht="85.5" spans="1:16">
      <c r="A99" s="22">
        <v>93</v>
      </c>
      <c r="B99" s="29">
        <v>45951</v>
      </c>
      <c r="C99" s="24" t="s">
        <v>107</v>
      </c>
      <c r="D99" s="22" cm="1">
        <f t="array" ref="D99">SUM(VALUE(SUBSTITUTE(_xlfn.TEXTAFTER(_xlfn.TEXTSPLIT(C99,CHAR(10)),"-",-1),"km","")))</f>
        <v>484</v>
      </c>
      <c r="E99" s="22">
        <f>42+74+65+17</f>
        <v>198</v>
      </c>
      <c r="F99" s="25">
        <f t="shared" si="21"/>
        <v>3.76146788990826</v>
      </c>
      <c r="G99" s="25">
        <f t="shared" si="22"/>
        <v>4.1</v>
      </c>
      <c r="H99" s="25">
        <f t="shared" si="23"/>
        <v>1820.5504587156</v>
      </c>
      <c r="I99" s="25">
        <f t="shared" si="24"/>
        <v>1984.4</v>
      </c>
      <c r="J99" s="25">
        <f t="shared" si="25"/>
        <v>3.2</v>
      </c>
      <c r="K99" s="25">
        <f t="shared" si="26"/>
        <v>1548.8</v>
      </c>
      <c r="L99" s="22"/>
      <c r="M99" s="22"/>
      <c r="N99" s="22"/>
      <c r="O99" s="18">
        <v>482</v>
      </c>
      <c r="P99" s="18">
        <f t="shared" si="27"/>
        <v>2</v>
      </c>
    </row>
    <row r="100" s="18" customFormat="1" ht="57" spans="1:16">
      <c r="A100" s="22">
        <v>94</v>
      </c>
      <c r="B100" s="29">
        <v>45951</v>
      </c>
      <c r="C100" s="24" t="s">
        <v>108</v>
      </c>
      <c r="D100" s="22" cm="1">
        <f t="array" ref="D100">SUM(VALUE(SUBSTITUTE(_xlfn.TEXTAFTER(_xlfn.TEXTSPLIT(C100,CHAR(10)),"-",-1),"km","")))</f>
        <v>323</v>
      </c>
      <c r="E100" s="22">
        <f>42+74+65+17</f>
        <v>198</v>
      </c>
      <c r="F100" s="25">
        <f t="shared" si="21"/>
        <v>3.76146788990826</v>
      </c>
      <c r="G100" s="25">
        <f t="shared" si="22"/>
        <v>4.1</v>
      </c>
      <c r="H100" s="25">
        <f t="shared" si="23"/>
        <v>1214.95412844037</v>
      </c>
      <c r="I100" s="25">
        <f t="shared" si="24"/>
        <v>1324.3</v>
      </c>
      <c r="J100" s="25">
        <f t="shared" si="25"/>
        <v>3.2</v>
      </c>
      <c r="K100" s="25">
        <f t="shared" si="26"/>
        <v>1033.6</v>
      </c>
      <c r="L100" s="22"/>
      <c r="M100" s="22"/>
      <c r="N100" s="22"/>
      <c r="O100" s="18">
        <v>314</v>
      </c>
      <c r="P100" s="18">
        <f t="shared" si="27"/>
        <v>9</v>
      </c>
    </row>
    <row r="101" s="18" customFormat="1" spans="1:16">
      <c r="A101" s="22">
        <v>95</v>
      </c>
      <c r="B101" s="29">
        <v>45951</v>
      </c>
      <c r="C101" s="24" t="s">
        <v>109</v>
      </c>
      <c r="D101" s="22" cm="1">
        <f t="array" ref="D101">SUM(VALUE(SUBSTITUTE(_xlfn.TEXTAFTER(_xlfn.TEXTSPLIT(C101,CHAR(10)),"-",-1),"km","")))</f>
        <v>319</v>
      </c>
      <c r="E101" s="22">
        <f>98+55+74+3.6+39+50</f>
        <v>319.6</v>
      </c>
      <c r="F101" s="25">
        <f t="shared" ref="F101:F120" si="28">G101/1.09</f>
        <v>3.76146788990826</v>
      </c>
      <c r="G101" s="25">
        <f t="shared" si="22"/>
        <v>4.1</v>
      </c>
      <c r="H101" s="25">
        <f t="shared" ref="H101:H120" si="29">D101*F101</f>
        <v>1199.90825688073</v>
      </c>
      <c r="I101" s="25">
        <f t="shared" ref="I101:I120" si="30">D101*G101</f>
        <v>1307.9</v>
      </c>
      <c r="J101" s="25">
        <f t="shared" si="25"/>
        <v>3.2</v>
      </c>
      <c r="K101" s="25">
        <f t="shared" ref="K101:K120" si="31">D101*J101</f>
        <v>1020.8</v>
      </c>
      <c r="L101" s="22"/>
      <c r="M101" s="22"/>
      <c r="N101" s="22"/>
      <c r="O101" s="18">
        <v>320</v>
      </c>
      <c r="P101" s="18">
        <f t="shared" si="27"/>
        <v>-1</v>
      </c>
    </row>
    <row r="102" s="18" customFormat="1" ht="57" spans="1:16">
      <c r="A102" s="22">
        <v>96</v>
      </c>
      <c r="B102" s="29">
        <v>45951</v>
      </c>
      <c r="C102" s="24" t="s">
        <v>110</v>
      </c>
      <c r="D102" s="22" cm="1">
        <f t="array" ref="D102">SUM(VALUE(SUBSTITUTE(_xlfn.TEXTAFTER(_xlfn.TEXTSPLIT(C102,CHAR(10)),"-",-1),"km","")))</f>
        <v>266</v>
      </c>
      <c r="E102" s="22">
        <f>180+16+9.5+59+47</f>
        <v>311.5</v>
      </c>
      <c r="F102" s="25">
        <f t="shared" si="28"/>
        <v>3.94495412844037</v>
      </c>
      <c r="G102" s="25">
        <f t="shared" si="22"/>
        <v>4.3</v>
      </c>
      <c r="H102" s="25">
        <f t="shared" si="29"/>
        <v>1049.35779816514</v>
      </c>
      <c r="I102" s="25">
        <f t="shared" si="30"/>
        <v>1143.8</v>
      </c>
      <c r="J102" s="25">
        <f t="shared" si="25"/>
        <v>3.5</v>
      </c>
      <c r="K102" s="25">
        <f t="shared" si="31"/>
        <v>931</v>
      </c>
      <c r="L102" s="22"/>
      <c r="M102" s="22"/>
      <c r="N102" s="22"/>
      <c r="O102" s="18">
        <v>258.4</v>
      </c>
      <c r="P102" s="18">
        <f t="shared" si="27"/>
        <v>7.60000000000002</v>
      </c>
    </row>
    <row r="103" ht="85.5" spans="1:14">
      <c r="A103" s="14">
        <v>97</v>
      </c>
      <c r="B103" s="15">
        <v>45952</v>
      </c>
      <c r="C103" s="16" t="s">
        <v>111</v>
      </c>
      <c r="D103" s="14" cm="1">
        <f t="array" ref="D103">SUM(VALUE(SUBSTITUTE(_xlfn.TEXTAFTER(_xlfn.TEXTSPLIT(C103,CHAR(10)),"-",-1),"km","")))</f>
        <v>226.8</v>
      </c>
      <c r="E103" s="14">
        <f>120+109+53+32</f>
        <v>314</v>
      </c>
      <c r="F103" s="17">
        <f t="shared" si="28"/>
        <v>3.94495412844037</v>
      </c>
      <c r="G103" s="17">
        <f t="shared" si="22"/>
        <v>4.3</v>
      </c>
      <c r="H103" s="9">
        <f t="shared" si="29"/>
        <v>894.715596330275</v>
      </c>
      <c r="I103" s="9">
        <f t="shared" si="30"/>
        <v>975.24</v>
      </c>
      <c r="J103" s="9">
        <f t="shared" si="25"/>
        <v>3.5</v>
      </c>
      <c r="K103" s="9">
        <f t="shared" si="31"/>
        <v>793.8</v>
      </c>
      <c r="L103" s="7"/>
      <c r="M103" s="14"/>
      <c r="N103" s="14"/>
    </row>
    <row r="104" ht="85.5" spans="1:14">
      <c r="A104" s="14">
        <v>98</v>
      </c>
      <c r="B104" s="15">
        <v>45952</v>
      </c>
      <c r="C104" s="16" t="s">
        <v>112</v>
      </c>
      <c r="D104" s="14" cm="1">
        <f t="array" ref="D104">SUM(VALUE(SUBSTITUTE(_xlfn.TEXTAFTER(_xlfn.TEXTSPLIT(C104,CHAR(10)),"-",-1),"km","")))</f>
        <v>179.1</v>
      </c>
      <c r="E104" s="14">
        <f>169+1.5+39+17+4.6</f>
        <v>231.1</v>
      </c>
      <c r="F104" s="17">
        <f t="shared" si="28"/>
        <v>4.12844036697248</v>
      </c>
      <c r="G104" s="17">
        <f t="shared" ref="G104:G120" si="32">IF(D104&gt;=301,4.1,IF(D104&gt;=201,4.3,IF(D104&gt;=101,4.5,"")))</f>
        <v>4.5</v>
      </c>
      <c r="H104" s="9">
        <f t="shared" si="29"/>
        <v>739.403669724771</v>
      </c>
      <c r="I104" s="9">
        <f t="shared" si="30"/>
        <v>805.95</v>
      </c>
      <c r="J104" s="9">
        <f t="shared" ref="J104:J120" si="33">IF(D104&gt;=301,3.2,IF(D104&gt;=201,3.5,IF(D104&gt;=101,3.5,"")))</f>
        <v>3.5</v>
      </c>
      <c r="K104" s="9">
        <f t="shared" si="31"/>
        <v>626.85</v>
      </c>
      <c r="L104" s="7"/>
      <c r="M104" s="14"/>
      <c r="N104" s="14"/>
    </row>
    <row r="105" ht="71.25" spans="1:14">
      <c r="A105" s="14">
        <v>99</v>
      </c>
      <c r="B105" s="15">
        <v>45952</v>
      </c>
      <c r="C105" s="16" t="s">
        <v>113</v>
      </c>
      <c r="D105" s="14" cm="1">
        <f t="array" ref="D105">SUM(VALUE(SUBSTITUTE(_xlfn.TEXTAFTER(_xlfn.TEXTSPLIT(C105,CHAR(10)),"-",-1),"km","")))</f>
        <v>190.9</v>
      </c>
      <c r="E105" s="14">
        <f t="shared" ref="E105:E120" si="34">35+67+10+12+10+6</f>
        <v>140</v>
      </c>
      <c r="F105" s="17">
        <f t="shared" si="28"/>
        <v>4.12844036697248</v>
      </c>
      <c r="G105" s="17">
        <f t="shared" si="32"/>
        <v>4.5</v>
      </c>
      <c r="H105" s="9">
        <f t="shared" si="29"/>
        <v>788.119266055046</v>
      </c>
      <c r="I105" s="9">
        <f t="shared" si="30"/>
        <v>859.05</v>
      </c>
      <c r="J105" s="9">
        <f t="shared" si="33"/>
        <v>3.5</v>
      </c>
      <c r="K105" s="9">
        <f t="shared" si="31"/>
        <v>668.15</v>
      </c>
      <c r="L105" s="7"/>
      <c r="M105" s="14"/>
      <c r="N105" s="14"/>
    </row>
    <row r="106" ht="57" spans="1:14">
      <c r="A106" s="14">
        <v>100</v>
      </c>
      <c r="B106" s="15">
        <v>45952</v>
      </c>
      <c r="C106" s="16" t="s">
        <v>114</v>
      </c>
      <c r="D106" s="14" cm="1">
        <f t="array" ref="D106">SUM(VALUE(SUBSTITUTE(_xlfn.TEXTAFTER(_xlfn.TEXTSPLIT(C106,CHAR(10)),"-",-1),"km","")))</f>
        <v>226.1</v>
      </c>
      <c r="E106" s="14">
        <f t="shared" si="34"/>
        <v>140</v>
      </c>
      <c r="F106" s="17">
        <f t="shared" si="28"/>
        <v>3.94495412844037</v>
      </c>
      <c r="G106" s="17">
        <f t="shared" si="32"/>
        <v>4.3</v>
      </c>
      <c r="H106" s="9">
        <f t="shared" si="29"/>
        <v>891.954128440367</v>
      </c>
      <c r="I106" s="9">
        <f t="shared" si="30"/>
        <v>972.23</v>
      </c>
      <c r="J106" s="9">
        <f t="shared" si="33"/>
        <v>3.5</v>
      </c>
      <c r="K106" s="9">
        <f t="shared" si="31"/>
        <v>791.35</v>
      </c>
      <c r="L106" s="7"/>
      <c r="M106" s="14"/>
      <c r="N106" s="14"/>
    </row>
    <row r="107" ht="114" spans="1:14">
      <c r="A107" s="14">
        <v>101</v>
      </c>
      <c r="B107" s="15">
        <v>45953</v>
      </c>
      <c r="C107" s="16" t="s">
        <v>115</v>
      </c>
      <c r="D107" s="14" cm="1">
        <f t="array" ref="D107">SUM(VALUE(SUBSTITUTE(_xlfn.TEXTAFTER(_xlfn.TEXTSPLIT(C107,CHAR(10)),"-",-1),"km","")))</f>
        <v>708.6</v>
      </c>
      <c r="E107" s="14">
        <f t="shared" si="34"/>
        <v>140</v>
      </c>
      <c r="F107" s="17">
        <f t="shared" si="28"/>
        <v>3.76146788990826</v>
      </c>
      <c r="G107" s="17">
        <f t="shared" si="32"/>
        <v>4.1</v>
      </c>
      <c r="H107" s="9">
        <f t="shared" si="29"/>
        <v>2665.37614678899</v>
      </c>
      <c r="I107" s="9">
        <f t="shared" si="30"/>
        <v>2905.26</v>
      </c>
      <c r="J107" s="9">
        <f t="shared" si="33"/>
        <v>3.2</v>
      </c>
      <c r="K107" s="9">
        <f t="shared" si="31"/>
        <v>2267.52</v>
      </c>
      <c r="L107" s="7"/>
      <c r="M107" s="14"/>
      <c r="N107" s="14"/>
    </row>
    <row r="108" ht="85.5" spans="1:14">
      <c r="A108" s="14">
        <v>102</v>
      </c>
      <c r="B108" s="15">
        <v>45953</v>
      </c>
      <c r="C108" s="16" t="s">
        <v>116</v>
      </c>
      <c r="D108" s="14" cm="1">
        <f t="array" ref="D108">SUM(VALUE(SUBSTITUTE(_xlfn.TEXTAFTER(_xlfn.TEXTSPLIT(C108,CHAR(10)),"-",-1),"km","")))</f>
        <v>432.5</v>
      </c>
      <c r="E108" s="14">
        <f t="shared" si="34"/>
        <v>140</v>
      </c>
      <c r="F108" s="17">
        <f t="shared" si="28"/>
        <v>3.76146788990826</v>
      </c>
      <c r="G108" s="17">
        <f t="shared" si="32"/>
        <v>4.1</v>
      </c>
      <c r="H108" s="9">
        <f t="shared" si="29"/>
        <v>1626.83486238532</v>
      </c>
      <c r="I108" s="9">
        <f t="shared" si="30"/>
        <v>1773.25</v>
      </c>
      <c r="J108" s="9">
        <f t="shared" si="33"/>
        <v>3.2</v>
      </c>
      <c r="K108" s="9">
        <f t="shared" si="31"/>
        <v>1384</v>
      </c>
      <c r="L108" s="7"/>
      <c r="M108" s="14"/>
      <c r="N108" s="14"/>
    </row>
    <row r="109" ht="71.25" spans="1:14">
      <c r="A109" s="14">
        <v>103</v>
      </c>
      <c r="B109" s="15">
        <v>45953</v>
      </c>
      <c r="C109" s="16" t="s">
        <v>117</v>
      </c>
      <c r="D109" s="14" cm="1">
        <f t="array" ref="D109">SUM(VALUE(SUBSTITUTE(_xlfn.TEXTAFTER(_xlfn.TEXTSPLIT(C109,CHAR(10)),"-",-1),"km","")))</f>
        <v>252</v>
      </c>
      <c r="E109" s="14">
        <f t="shared" si="34"/>
        <v>140</v>
      </c>
      <c r="F109" s="17">
        <f t="shared" si="28"/>
        <v>3.94495412844037</v>
      </c>
      <c r="G109" s="17">
        <f t="shared" si="32"/>
        <v>4.3</v>
      </c>
      <c r="H109" s="9">
        <f t="shared" si="29"/>
        <v>994.128440366972</v>
      </c>
      <c r="I109" s="9">
        <f t="shared" si="30"/>
        <v>1083.6</v>
      </c>
      <c r="J109" s="9">
        <f t="shared" si="33"/>
        <v>3.5</v>
      </c>
      <c r="K109" s="9">
        <f t="shared" si="31"/>
        <v>882</v>
      </c>
      <c r="L109" s="7"/>
      <c r="M109" s="14"/>
      <c r="N109" s="14"/>
    </row>
    <row r="110" ht="71.25" spans="1:14">
      <c r="A110" s="14">
        <v>104</v>
      </c>
      <c r="B110" s="15">
        <v>45953</v>
      </c>
      <c r="C110" s="16" t="s">
        <v>118</v>
      </c>
      <c r="D110" s="14" cm="1">
        <f t="array" ref="D110">SUM(VALUE(SUBSTITUTE(_xlfn.TEXTAFTER(_xlfn.TEXTSPLIT(C110,CHAR(10)),"-",-1),"km","")))</f>
        <v>331</v>
      </c>
      <c r="E110" s="14">
        <f t="shared" si="34"/>
        <v>140</v>
      </c>
      <c r="F110" s="17">
        <f t="shared" si="28"/>
        <v>3.76146788990826</v>
      </c>
      <c r="G110" s="17">
        <f t="shared" si="32"/>
        <v>4.1</v>
      </c>
      <c r="H110" s="9">
        <f t="shared" si="29"/>
        <v>1245.04587155963</v>
      </c>
      <c r="I110" s="9">
        <f t="shared" si="30"/>
        <v>1357.1</v>
      </c>
      <c r="J110" s="9">
        <f t="shared" si="33"/>
        <v>3.2</v>
      </c>
      <c r="K110" s="9">
        <f t="shared" si="31"/>
        <v>1059.2</v>
      </c>
      <c r="L110" s="7"/>
      <c r="M110" s="14"/>
      <c r="N110" s="14"/>
    </row>
    <row r="111" ht="99.75" spans="1:14">
      <c r="A111" s="14">
        <v>105</v>
      </c>
      <c r="B111" s="15">
        <v>45954</v>
      </c>
      <c r="C111" s="16" t="s">
        <v>119</v>
      </c>
      <c r="D111" s="14" cm="1">
        <f t="array" ref="D111">SUM(VALUE(SUBSTITUTE(_xlfn.TEXTAFTER(_xlfn.TEXTSPLIT(C111,CHAR(10)),"-",-1),"km","")))</f>
        <v>220.2</v>
      </c>
      <c r="E111" s="14">
        <f t="shared" si="34"/>
        <v>140</v>
      </c>
      <c r="F111" s="17">
        <f t="shared" si="28"/>
        <v>3.94495412844037</v>
      </c>
      <c r="G111" s="17">
        <f t="shared" si="32"/>
        <v>4.3</v>
      </c>
      <c r="H111" s="9">
        <f t="shared" si="29"/>
        <v>868.678899082569</v>
      </c>
      <c r="I111" s="9">
        <f t="shared" si="30"/>
        <v>946.86</v>
      </c>
      <c r="J111" s="9">
        <f t="shared" si="33"/>
        <v>3.5</v>
      </c>
      <c r="K111" s="9">
        <f t="shared" si="31"/>
        <v>770.7</v>
      </c>
      <c r="L111" s="7"/>
      <c r="M111" s="14"/>
      <c r="N111" s="14"/>
    </row>
    <row r="112" ht="85.5" spans="1:14">
      <c r="A112" s="14">
        <v>106</v>
      </c>
      <c r="B112" s="15">
        <v>45954</v>
      </c>
      <c r="C112" s="16" t="s">
        <v>120</v>
      </c>
      <c r="D112" s="14" cm="1">
        <f t="array" ref="D112">SUM(VALUE(SUBSTITUTE(_xlfn.TEXTAFTER(_xlfn.TEXTSPLIT(C112,CHAR(10)),"-",-1),"km","")))</f>
        <v>206.5</v>
      </c>
      <c r="E112" s="14">
        <f t="shared" si="34"/>
        <v>140</v>
      </c>
      <c r="F112" s="17">
        <f t="shared" si="28"/>
        <v>3.94495412844037</v>
      </c>
      <c r="G112" s="17">
        <f t="shared" si="32"/>
        <v>4.3</v>
      </c>
      <c r="H112" s="9">
        <f t="shared" si="29"/>
        <v>814.633027522936</v>
      </c>
      <c r="I112" s="9">
        <f t="shared" si="30"/>
        <v>887.95</v>
      </c>
      <c r="J112" s="9">
        <f t="shared" si="33"/>
        <v>3.5</v>
      </c>
      <c r="K112" s="9">
        <f t="shared" si="31"/>
        <v>722.75</v>
      </c>
      <c r="L112" s="7"/>
      <c r="M112" s="14"/>
      <c r="N112" s="14"/>
    </row>
    <row r="113" ht="99.75" spans="1:14">
      <c r="A113" s="14">
        <v>107</v>
      </c>
      <c r="B113" s="15">
        <v>45954</v>
      </c>
      <c r="C113" s="16" t="s">
        <v>121</v>
      </c>
      <c r="D113" s="14" cm="1">
        <f t="array" ref="D113">SUM(VALUE(SUBSTITUTE(_xlfn.TEXTAFTER(_xlfn.TEXTSPLIT(C113,CHAR(10)),"-",-1),"km","")))</f>
        <v>227</v>
      </c>
      <c r="E113" s="14">
        <f t="shared" si="34"/>
        <v>140</v>
      </c>
      <c r="F113" s="17">
        <f t="shared" si="28"/>
        <v>3.94495412844037</v>
      </c>
      <c r="G113" s="17">
        <f t="shared" si="32"/>
        <v>4.3</v>
      </c>
      <c r="H113" s="9">
        <f t="shared" si="29"/>
        <v>895.504587155963</v>
      </c>
      <c r="I113" s="9">
        <f t="shared" si="30"/>
        <v>976.1</v>
      </c>
      <c r="J113" s="9">
        <f t="shared" si="33"/>
        <v>3.5</v>
      </c>
      <c r="K113" s="9">
        <f t="shared" si="31"/>
        <v>794.5</v>
      </c>
      <c r="L113" s="7"/>
      <c r="M113" s="14"/>
      <c r="N113" s="14"/>
    </row>
    <row r="114" ht="57" spans="1:14">
      <c r="A114" s="14">
        <v>108</v>
      </c>
      <c r="B114" s="15">
        <v>45954</v>
      </c>
      <c r="C114" s="16" t="s">
        <v>122</v>
      </c>
      <c r="D114" s="14" cm="1">
        <f t="array" ref="D114">SUM(VALUE(SUBSTITUTE(_xlfn.TEXTAFTER(_xlfn.TEXTSPLIT(C114,CHAR(10)),"-",-1),"km","")))</f>
        <v>194.1</v>
      </c>
      <c r="E114" s="14">
        <f t="shared" si="34"/>
        <v>140</v>
      </c>
      <c r="F114" s="17">
        <f t="shared" si="28"/>
        <v>4.12844036697248</v>
      </c>
      <c r="G114" s="17">
        <f t="shared" si="32"/>
        <v>4.5</v>
      </c>
      <c r="H114" s="9">
        <f t="shared" si="29"/>
        <v>801.330275229358</v>
      </c>
      <c r="I114" s="9">
        <f t="shared" si="30"/>
        <v>873.45</v>
      </c>
      <c r="J114" s="9">
        <f t="shared" si="33"/>
        <v>3.5</v>
      </c>
      <c r="K114" s="9">
        <f t="shared" si="31"/>
        <v>679.35</v>
      </c>
      <c r="L114" s="7"/>
      <c r="M114" s="14"/>
      <c r="N114" s="14"/>
    </row>
    <row r="115" ht="114" spans="1:14">
      <c r="A115" s="14">
        <v>109</v>
      </c>
      <c r="B115" s="15">
        <v>45955</v>
      </c>
      <c r="C115" s="16" t="s">
        <v>123</v>
      </c>
      <c r="D115" s="14" cm="1">
        <f t="array" ref="D115">SUM(VALUE(SUBSTITUTE(_xlfn.TEXTAFTER(_xlfn.TEXTSPLIT(C115,CHAR(10)),"-",-1),"km","")))</f>
        <v>601.7</v>
      </c>
      <c r="E115" s="14">
        <f t="shared" si="34"/>
        <v>140</v>
      </c>
      <c r="F115" s="17">
        <f t="shared" si="28"/>
        <v>3.76146788990826</v>
      </c>
      <c r="G115" s="17">
        <f t="shared" si="32"/>
        <v>4.1</v>
      </c>
      <c r="H115" s="9">
        <f t="shared" si="29"/>
        <v>2263.2752293578</v>
      </c>
      <c r="I115" s="9">
        <f t="shared" si="30"/>
        <v>2466.97</v>
      </c>
      <c r="J115" s="9">
        <f t="shared" si="33"/>
        <v>3.2</v>
      </c>
      <c r="K115" s="9">
        <f t="shared" si="31"/>
        <v>1925.44</v>
      </c>
      <c r="L115" s="7"/>
      <c r="M115" s="14"/>
      <c r="N115" s="14"/>
    </row>
    <row r="116" ht="128.25" spans="1:14">
      <c r="A116" s="14">
        <v>110</v>
      </c>
      <c r="B116" s="15">
        <v>45955</v>
      </c>
      <c r="C116" s="16" t="s">
        <v>124</v>
      </c>
      <c r="D116" s="14" cm="1">
        <f t="array" ref="D116">SUM(VALUE(SUBSTITUTE(_xlfn.TEXTAFTER(_xlfn.TEXTSPLIT(C116,CHAR(10)),"-",-1),"km","")))</f>
        <v>578</v>
      </c>
      <c r="E116" s="14">
        <f t="shared" si="34"/>
        <v>140</v>
      </c>
      <c r="F116" s="17">
        <f t="shared" si="28"/>
        <v>3.76146788990826</v>
      </c>
      <c r="G116" s="17">
        <f t="shared" si="32"/>
        <v>4.1</v>
      </c>
      <c r="H116" s="9">
        <f t="shared" si="29"/>
        <v>2174.12844036697</v>
      </c>
      <c r="I116" s="9">
        <f t="shared" si="30"/>
        <v>2369.8</v>
      </c>
      <c r="J116" s="9">
        <f t="shared" si="33"/>
        <v>3.2</v>
      </c>
      <c r="K116" s="9">
        <f t="shared" si="31"/>
        <v>1849.6</v>
      </c>
      <c r="L116" s="7"/>
      <c r="M116" s="14"/>
      <c r="N116" s="14"/>
    </row>
    <row r="117" ht="99.75" spans="1:14">
      <c r="A117" s="14">
        <v>111</v>
      </c>
      <c r="B117" s="15">
        <v>45955</v>
      </c>
      <c r="C117" s="16" t="s">
        <v>125</v>
      </c>
      <c r="D117" s="14" cm="1">
        <f t="array" ref="D117">SUM(VALUE(SUBSTITUTE(_xlfn.TEXTAFTER(_xlfn.TEXTSPLIT(C117,CHAR(10)),"-",-1),"km","")))</f>
        <v>500</v>
      </c>
      <c r="E117" s="14">
        <f t="shared" si="34"/>
        <v>140</v>
      </c>
      <c r="F117" s="17">
        <f t="shared" si="28"/>
        <v>3.76146788990826</v>
      </c>
      <c r="G117" s="17">
        <f t="shared" si="32"/>
        <v>4.1</v>
      </c>
      <c r="H117" s="9">
        <f t="shared" si="29"/>
        <v>1880.73394495413</v>
      </c>
      <c r="I117" s="9">
        <f t="shared" si="30"/>
        <v>2050</v>
      </c>
      <c r="J117" s="9">
        <f t="shared" si="33"/>
        <v>3.2</v>
      </c>
      <c r="K117" s="9">
        <f t="shared" si="31"/>
        <v>1600</v>
      </c>
      <c r="L117" s="7"/>
      <c r="M117" s="14"/>
      <c r="N117" s="14"/>
    </row>
    <row r="118" ht="85.5" spans="1:14">
      <c r="A118" s="14">
        <v>112</v>
      </c>
      <c r="B118" s="15">
        <v>45956</v>
      </c>
      <c r="C118" s="16" t="s">
        <v>126</v>
      </c>
      <c r="D118" s="14" cm="1">
        <f t="array" ref="D118">SUM(VALUE(SUBSTITUTE(_xlfn.TEXTAFTER(_xlfn.TEXTSPLIT(C118,CHAR(10)),"-",-1),"km","")))</f>
        <v>267.5</v>
      </c>
      <c r="E118" s="14">
        <f t="shared" si="34"/>
        <v>140</v>
      </c>
      <c r="F118" s="17">
        <f t="shared" si="28"/>
        <v>3.94495412844037</v>
      </c>
      <c r="G118" s="17">
        <f t="shared" si="32"/>
        <v>4.3</v>
      </c>
      <c r="H118" s="9">
        <f t="shared" si="29"/>
        <v>1055.2752293578</v>
      </c>
      <c r="I118" s="9">
        <f t="shared" si="30"/>
        <v>1150.25</v>
      </c>
      <c r="J118" s="9">
        <f t="shared" si="33"/>
        <v>3.5</v>
      </c>
      <c r="K118" s="9">
        <f t="shared" si="31"/>
        <v>936.25</v>
      </c>
      <c r="L118" s="7"/>
      <c r="M118" s="14"/>
      <c r="N118" s="14"/>
    </row>
    <row r="119" spans="1:14">
      <c r="A119" s="14">
        <v>113</v>
      </c>
      <c r="B119" s="15"/>
      <c r="C119" s="16"/>
      <c r="D119" s="14" t="e" cm="1">
        <f t="array" ref="D119">SUM(VALUE(SUBSTITUTE(_xlfn.TEXTAFTER(_xlfn.TEXTSPLIT(C119,CHAR(10)),"-",-1),"km","")))</f>
        <v>#VALUE!</v>
      </c>
      <c r="E119" s="14">
        <f t="shared" si="34"/>
        <v>140</v>
      </c>
      <c r="F119" s="17" t="e">
        <f t="shared" si="28"/>
        <v>#VALUE!</v>
      </c>
      <c r="G119" s="17" t="e">
        <f t="shared" si="32"/>
        <v>#VALUE!</v>
      </c>
      <c r="H119" s="9" t="e">
        <f t="shared" si="29"/>
        <v>#VALUE!</v>
      </c>
      <c r="I119" s="9" t="e">
        <f t="shared" si="30"/>
        <v>#VALUE!</v>
      </c>
      <c r="J119" s="9" t="e">
        <f t="shared" si="33"/>
        <v>#VALUE!</v>
      </c>
      <c r="K119" s="9" t="e">
        <f t="shared" si="31"/>
        <v>#VALUE!</v>
      </c>
      <c r="L119" s="7"/>
      <c r="M119" s="14"/>
      <c r="N119" s="14"/>
    </row>
    <row r="120" spans="1:14">
      <c r="A120" s="14">
        <v>114</v>
      </c>
      <c r="B120" s="15"/>
      <c r="C120" s="16"/>
      <c r="D120" s="14" t="e" cm="1">
        <f t="array" ref="D120">SUM(VALUE(SUBSTITUTE(_xlfn.TEXTAFTER(_xlfn.TEXTSPLIT(C120,CHAR(10)),"-",-1),"km","")))</f>
        <v>#VALUE!</v>
      </c>
      <c r="E120" s="14">
        <f t="shared" si="34"/>
        <v>140</v>
      </c>
      <c r="F120" s="17" t="e">
        <f t="shared" si="28"/>
        <v>#VALUE!</v>
      </c>
      <c r="G120" s="17" t="e">
        <f t="shared" si="32"/>
        <v>#VALUE!</v>
      </c>
      <c r="H120" s="9" t="e">
        <f t="shared" si="29"/>
        <v>#VALUE!</v>
      </c>
      <c r="I120" s="9" t="e">
        <f t="shared" si="30"/>
        <v>#VALUE!</v>
      </c>
      <c r="J120" s="9" t="e">
        <f t="shared" si="33"/>
        <v>#VALUE!</v>
      </c>
      <c r="K120" s="9" t="e">
        <f t="shared" si="31"/>
        <v>#VALUE!</v>
      </c>
      <c r="L120" s="7"/>
      <c r="M120" s="14"/>
      <c r="N120" s="14"/>
    </row>
  </sheetData>
  <autoFilter xmlns:etc="http://www.wps.cn/officeDocument/2017/etCustomData" ref="A1:R12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15.625" defaultRowHeight="14.25"/>
  <cols>
    <col min="1" max="1" width="11.375" style="2" customWidth="1"/>
    <col min="2" max="2" width="11.125" style="2" customWidth="1"/>
    <col min="3" max="3" width="42.375" style="3" customWidth="1"/>
    <col min="4" max="4" width="15.875" style="2" customWidth="1"/>
    <col min="5" max="5" width="12.125" style="2" hidden="1" customWidth="1"/>
    <col min="6" max="7" width="15.625" style="4" customWidth="1"/>
    <col min="8" max="8" width="14.25" style="5" customWidth="1"/>
    <col min="9" max="9" width="12.25" style="5" customWidth="1"/>
    <col min="10" max="10" width="11.5083333333333" style="5" customWidth="1"/>
    <col min="11" max="11" width="15.625" style="5" customWidth="1"/>
    <col min="12" max="12" width="15.625" style="6" customWidth="1"/>
    <col min="13" max="16384" width="15.625" style="2" customWidth="1"/>
  </cols>
  <sheetData>
    <row r="1" ht="30" customHeight="1" spans="1:14">
      <c r="A1" s="7" t="s">
        <v>0</v>
      </c>
      <c r="B1" s="7" t="s">
        <v>1</v>
      </c>
      <c r="C1" s="8" t="s">
        <v>2</v>
      </c>
      <c r="D1" s="7" t="s">
        <v>3</v>
      </c>
      <c r="E1" s="7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8</v>
      </c>
      <c r="L1" s="7" t="s">
        <v>9</v>
      </c>
      <c r="M1" s="7" t="s">
        <v>10</v>
      </c>
      <c r="N1" s="7" t="s">
        <v>11</v>
      </c>
    </row>
    <row r="2" s="1" customFormat="1" ht="85.5" spans="1:14">
      <c r="A2" s="10">
        <v>82</v>
      </c>
      <c r="B2" s="11">
        <v>45948</v>
      </c>
      <c r="C2" s="12" t="s">
        <v>127</v>
      </c>
      <c r="D2" s="10" t="e" cm="1">
        <f t="array" ref="D2">SUM(VALUE(SUBSTITUTE(_xlfn.TEXTAFTER(_xlfn.TEXTSPLIT(C2,CHAR(10)),"-",-1),"km","")))</f>
        <v>#VALUE!</v>
      </c>
      <c r="E2" s="10">
        <f t="shared" ref="E2:E4" si="0">18+22+67+10+12</f>
        <v>129</v>
      </c>
      <c r="F2" s="13" t="e">
        <f t="shared" ref="F2:F34" si="1">G2/1.09</f>
        <v>#VALUE!</v>
      </c>
      <c r="G2" s="13" t="e">
        <f t="shared" ref="G2:G27" si="2">IF(D2&gt;=301,4.1,IF(D2&gt;=201,4.3,IF(D2&gt;=101,4.5,"")))</f>
        <v>#VALUE!</v>
      </c>
      <c r="H2" s="13" t="e">
        <f t="shared" ref="H2:H34" si="3">D2*F2</f>
        <v>#VALUE!</v>
      </c>
      <c r="I2" s="13" t="e">
        <f t="shared" ref="I2:I34" si="4">D2*G2</f>
        <v>#VALUE!</v>
      </c>
      <c r="J2" s="13" t="e">
        <f t="shared" ref="J2:J27" si="5">IF(D2&gt;=301,3.2,IF(D2&gt;=201,3.5,IF(D2&gt;=101,3.5,"")))</f>
        <v>#VALUE!</v>
      </c>
      <c r="K2" s="13" t="e">
        <f t="shared" ref="K2:K34" si="6">D2*J2</f>
        <v>#VALUE!</v>
      </c>
      <c r="L2" s="10"/>
      <c r="M2" s="10"/>
      <c r="N2" s="10"/>
    </row>
    <row r="3" ht="71.25" spans="1:14">
      <c r="A3" s="14">
        <v>83</v>
      </c>
      <c r="B3" s="15">
        <v>45948</v>
      </c>
      <c r="C3" s="16" t="s">
        <v>97</v>
      </c>
      <c r="D3" s="14" cm="1">
        <f t="array" ref="D3">SUM(VALUE(SUBSTITUTE(_xlfn.TEXTAFTER(_xlfn.TEXTSPLIT(C3,CHAR(10)),"-",-1),"km","")))</f>
        <v>378.8</v>
      </c>
      <c r="E3" s="14">
        <f t="shared" si="0"/>
        <v>129</v>
      </c>
      <c r="F3" s="17">
        <f t="shared" si="1"/>
        <v>3.76146788990826</v>
      </c>
      <c r="G3" s="17">
        <f t="shared" si="2"/>
        <v>4.1</v>
      </c>
      <c r="H3" s="9">
        <f t="shared" si="3"/>
        <v>1424.84403669725</v>
      </c>
      <c r="I3" s="9">
        <f t="shared" si="4"/>
        <v>1553.08</v>
      </c>
      <c r="J3" s="9">
        <f t="shared" si="5"/>
        <v>3.2</v>
      </c>
      <c r="K3" s="9">
        <f t="shared" si="6"/>
        <v>1212.16</v>
      </c>
      <c r="L3" s="7"/>
      <c r="M3" s="14"/>
      <c r="N3" s="14"/>
    </row>
    <row r="4" ht="85.5" spans="1:14">
      <c r="A4" s="14">
        <v>84</v>
      </c>
      <c r="B4" s="15">
        <v>45948</v>
      </c>
      <c r="C4" s="16" t="s">
        <v>98</v>
      </c>
      <c r="D4" s="14" cm="1">
        <f t="array" ref="D4">SUM(VALUE(SUBSTITUTE(_xlfn.TEXTAFTER(_xlfn.TEXTSPLIT(C4,CHAR(10)),"-",-1),"km","")))</f>
        <v>675</v>
      </c>
      <c r="E4" s="14">
        <f t="shared" si="0"/>
        <v>129</v>
      </c>
      <c r="F4" s="17">
        <f t="shared" si="1"/>
        <v>3.76146788990826</v>
      </c>
      <c r="G4" s="17">
        <f t="shared" si="2"/>
        <v>4.1</v>
      </c>
      <c r="H4" s="9">
        <f t="shared" si="3"/>
        <v>2538.99082568807</v>
      </c>
      <c r="I4" s="9">
        <f t="shared" si="4"/>
        <v>2767.5</v>
      </c>
      <c r="J4" s="9">
        <f t="shared" si="5"/>
        <v>3.2</v>
      </c>
      <c r="K4" s="9">
        <f t="shared" si="6"/>
        <v>2160</v>
      </c>
      <c r="L4" s="7"/>
      <c r="M4" s="14"/>
      <c r="N4" s="14"/>
    </row>
    <row r="5" ht="57" spans="1:14">
      <c r="A5" s="14">
        <v>85</v>
      </c>
      <c r="B5" s="15">
        <v>45949</v>
      </c>
      <c r="C5" s="16" t="s">
        <v>99</v>
      </c>
      <c r="D5" s="14" cm="1">
        <f t="array" ref="D5">SUM(VALUE(SUBSTITUTE(_xlfn.TEXTAFTER(_xlfn.TEXTSPLIT(C5,CHAR(10)),"-",-1),"km","")))</f>
        <v>162.4</v>
      </c>
      <c r="E5" s="14">
        <f>152+7.9+3.1+16+58</f>
        <v>237</v>
      </c>
      <c r="F5" s="17">
        <f t="shared" si="1"/>
        <v>4.12844036697248</v>
      </c>
      <c r="G5" s="17">
        <f t="shared" si="2"/>
        <v>4.5</v>
      </c>
      <c r="H5" s="9">
        <f t="shared" si="3"/>
        <v>670.45871559633</v>
      </c>
      <c r="I5" s="9">
        <f t="shared" si="4"/>
        <v>730.8</v>
      </c>
      <c r="J5" s="9">
        <f t="shared" si="5"/>
        <v>3.5</v>
      </c>
      <c r="K5" s="9">
        <f t="shared" si="6"/>
        <v>568.4</v>
      </c>
      <c r="L5" s="7"/>
      <c r="M5" s="14"/>
      <c r="N5" s="14"/>
    </row>
    <row r="6" ht="57" spans="1:14">
      <c r="A6" s="14">
        <v>86</v>
      </c>
      <c r="B6" s="15">
        <v>45950</v>
      </c>
      <c r="C6" s="16" t="s">
        <v>100</v>
      </c>
      <c r="D6" s="14" cm="1">
        <f t="array" ref="D6">SUM(VALUE(SUBSTITUTE(_xlfn.TEXTAFTER(_xlfn.TEXTSPLIT(C6,CHAR(10)),"-",-1),"km","")))</f>
        <v>160.7</v>
      </c>
      <c r="E6" s="14">
        <f>120+91+42+60</f>
        <v>313</v>
      </c>
      <c r="F6" s="17">
        <f t="shared" si="1"/>
        <v>4.12844036697248</v>
      </c>
      <c r="G6" s="17">
        <f t="shared" si="2"/>
        <v>4.5</v>
      </c>
      <c r="H6" s="9">
        <f t="shared" si="3"/>
        <v>663.440366972477</v>
      </c>
      <c r="I6" s="9">
        <f t="shared" si="4"/>
        <v>723.15</v>
      </c>
      <c r="J6" s="9">
        <f t="shared" si="5"/>
        <v>3.5</v>
      </c>
      <c r="K6" s="9">
        <f t="shared" si="6"/>
        <v>562.45</v>
      </c>
      <c r="L6" s="7"/>
      <c r="M6" s="14"/>
      <c r="N6" s="14"/>
    </row>
    <row r="7" ht="71.25" spans="1:14">
      <c r="A7" s="14">
        <v>87</v>
      </c>
      <c r="B7" s="15">
        <v>45950</v>
      </c>
      <c r="C7" s="16" t="s">
        <v>101</v>
      </c>
      <c r="D7" s="14" cm="1">
        <f t="array" ref="D7">SUM(VALUE(SUBSTITUTE(_xlfn.TEXTAFTER(_xlfn.TEXTSPLIT(C7,CHAR(10)),"-",-1),"km","")))</f>
        <v>222</v>
      </c>
      <c r="E7" s="14">
        <f>189+3.6+39+45</f>
        <v>276.6</v>
      </c>
      <c r="F7" s="17">
        <f t="shared" si="1"/>
        <v>3.94495412844037</v>
      </c>
      <c r="G7" s="17">
        <f t="shared" si="2"/>
        <v>4.3</v>
      </c>
      <c r="H7" s="9">
        <f t="shared" si="3"/>
        <v>875.779816513761</v>
      </c>
      <c r="I7" s="9">
        <f t="shared" si="4"/>
        <v>954.6</v>
      </c>
      <c r="J7" s="9">
        <f t="shared" si="5"/>
        <v>3.5</v>
      </c>
      <c r="K7" s="9">
        <f t="shared" si="6"/>
        <v>777</v>
      </c>
      <c r="L7" s="7"/>
      <c r="M7" s="14"/>
      <c r="N7" s="14"/>
    </row>
    <row r="8" ht="57" spans="1:14">
      <c r="A8" s="14">
        <v>88</v>
      </c>
      <c r="B8" s="15">
        <v>45950</v>
      </c>
      <c r="C8" s="16" t="s">
        <v>102</v>
      </c>
      <c r="D8" s="14" cm="1">
        <f t="array" ref="D8">SUM(VALUE(SUBSTITUTE(_xlfn.TEXTAFTER(_xlfn.TEXTSPLIT(C8,CHAR(10)),"-",-1),"km","")))</f>
        <v>180.6</v>
      </c>
      <c r="E8" s="14">
        <f>160+81</f>
        <v>241</v>
      </c>
      <c r="F8" s="17">
        <f t="shared" si="1"/>
        <v>4.12844036697248</v>
      </c>
      <c r="G8" s="17">
        <f t="shared" si="2"/>
        <v>4.5</v>
      </c>
      <c r="H8" s="9">
        <f t="shared" si="3"/>
        <v>745.596330275229</v>
      </c>
      <c r="I8" s="9">
        <f t="shared" si="4"/>
        <v>812.7</v>
      </c>
      <c r="J8" s="9">
        <f t="shared" si="5"/>
        <v>3.5</v>
      </c>
      <c r="K8" s="9">
        <f t="shared" si="6"/>
        <v>632.1</v>
      </c>
      <c r="L8" s="7"/>
      <c r="M8" s="14"/>
      <c r="N8" s="14"/>
    </row>
    <row r="9" ht="85.5" spans="1:14">
      <c r="A9" s="14">
        <v>89</v>
      </c>
      <c r="B9" s="15">
        <v>45950</v>
      </c>
      <c r="C9" s="16" t="s">
        <v>103</v>
      </c>
      <c r="D9" s="14" cm="1">
        <f t="array" ref="D9">SUM(VALUE(SUBSTITUTE(_xlfn.TEXTAFTER(_xlfn.TEXTSPLIT(C9,CHAR(10)),"-",-1),"km","")))</f>
        <v>193.7</v>
      </c>
      <c r="E9" s="14">
        <f>171+34+43</f>
        <v>248</v>
      </c>
      <c r="F9" s="17">
        <f t="shared" si="1"/>
        <v>4.12844036697248</v>
      </c>
      <c r="G9" s="17">
        <f t="shared" si="2"/>
        <v>4.5</v>
      </c>
      <c r="H9" s="9">
        <f t="shared" si="3"/>
        <v>799.678899082569</v>
      </c>
      <c r="I9" s="9">
        <f t="shared" si="4"/>
        <v>871.65</v>
      </c>
      <c r="J9" s="9">
        <f t="shared" si="5"/>
        <v>3.5</v>
      </c>
      <c r="K9" s="9">
        <f t="shared" si="6"/>
        <v>677.95</v>
      </c>
      <c r="L9" s="7"/>
      <c r="M9" s="14"/>
      <c r="N9" s="14"/>
    </row>
    <row r="10" ht="28.5" spans="1:14">
      <c r="A10" s="14">
        <v>90</v>
      </c>
      <c r="B10" s="15">
        <v>45951</v>
      </c>
      <c r="C10" s="16" t="s">
        <v>104</v>
      </c>
      <c r="D10" s="14" cm="1">
        <f t="array" ref="D10">SUM(VALUE(SUBSTITUTE(_xlfn.TEXTAFTER(_xlfn.TEXTSPLIT(C10,CHAR(10)),"-",-1),"km","")))</f>
        <v>418</v>
      </c>
      <c r="E10" s="14">
        <f>180+17+59+47</f>
        <v>303</v>
      </c>
      <c r="F10" s="17">
        <f t="shared" si="1"/>
        <v>3.76146788990826</v>
      </c>
      <c r="G10" s="17">
        <f t="shared" si="2"/>
        <v>4.1</v>
      </c>
      <c r="H10" s="9">
        <f t="shared" si="3"/>
        <v>1572.29357798165</v>
      </c>
      <c r="I10" s="9">
        <f t="shared" si="4"/>
        <v>1713.8</v>
      </c>
      <c r="J10" s="9">
        <f t="shared" si="5"/>
        <v>3.2</v>
      </c>
      <c r="K10" s="9">
        <f t="shared" si="6"/>
        <v>1337.6</v>
      </c>
      <c r="L10" s="7"/>
      <c r="M10" s="14"/>
      <c r="N10" s="14"/>
    </row>
    <row r="11" ht="71.25" spans="1:14">
      <c r="A11" s="14">
        <v>91</v>
      </c>
      <c r="B11" s="15">
        <v>45951</v>
      </c>
      <c r="C11" s="16" t="s">
        <v>105</v>
      </c>
      <c r="D11" s="14" cm="1">
        <f t="array" ref="D11">SUM(VALUE(SUBSTITUTE(_xlfn.TEXTAFTER(_xlfn.TEXTSPLIT(C11,CHAR(10)),"-",-1),"km","")))</f>
        <v>355</v>
      </c>
      <c r="E11" s="14">
        <f>86+10+12+10</f>
        <v>118</v>
      </c>
      <c r="F11" s="17">
        <f t="shared" si="1"/>
        <v>3.76146788990826</v>
      </c>
      <c r="G11" s="17">
        <f t="shared" si="2"/>
        <v>4.1</v>
      </c>
      <c r="H11" s="9">
        <f t="shared" si="3"/>
        <v>1335.32110091743</v>
      </c>
      <c r="I11" s="9">
        <f t="shared" si="4"/>
        <v>1455.5</v>
      </c>
      <c r="J11" s="9">
        <f t="shared" si="5"/>
        <v>3.2</v>
      </c>
      <c r="K11" s="9">
        <f t="shared" si="6"/>
        <v>1136</v>
      </c>
      <c r="L11" s="7"/>
      <c r="M11" s="14"/>
      <c r="N11" s="14"/>
    </row>
    <row r="12" ht="71.25" spans="1:14">
      <c r="A12" s="14">
        <v>92</v>
      </c>
      <c r="B12" s="15">
        <v>45951</v>
      </c>
      <c r="C12" s="16" t="s">
        <v>106</v>
      </c>
      <c r="D12" s="14" cm="1">
        <f t="array" ref="D12">SUM(VALUE(SUBSTITUTE(_xlfn.TEXTAFTER(_xlfn.TEXTSPLIT(C12,CHAR(10)),"-",-1),"km","")))</f>
        <v>551</v>
      </c>
      <c r="E12" s="14">
        <f t="shared" ref="E12:E14" si="7">42+74+65+17</f>
        <v>198</v>
      </c>
      <c r="F12" s="17">
        <f t="shared" si="1"/>
        <v>3.76146788990826</v>
      </c>
      <c r="G12" s="17">
        <f t="shared" si="2"/>
        <v>4.1</v>
      </c>
      <c r="H12" s="9">
        <f t="shared" si="3"/>
        <v>2072.56880733945</v>
      </c>
      <c r="I12" s="9">
        <f t="shared" si="4"/>
        <v>2259.1</v>
      </c>
      <c r="J12" s="9">
        <f t="shared" si="5"/>
        <v>3.2</v>
      </c>
      <c r="K12" s="9">
        <f t="shared" si="6"/>
        <v>1763.2</v>
      </c>
      <c r="L12" s="7"/>
      <c r="M12" s="14"/>
      <c r="N12" s="14"/>
    </row>
    <row r="13" ht="85.5" spans="1:14">
      <c r="A13" s="14">
        <v>93</v>
      </c>
      <c r="B13" s="15">
        <v>45951</v>
      </c>
      <c r="C13" s="16" t="s">
        <v>107</v>
      </c>
      <c r="D13" s="14" cm="1">
        <f t="array" ref="D13">SUM(VALUE(SUBSTITUTE(_xlfn.TEXTAFTER(_xlfn.TEXTSPLIT(C13,CHAR(10)),"-",-1),"km","")))</f>
        <v>484</v>
      </c>
      <c r="E13" s="14">
        <f t="shared" si="7"/>
        <v>198</v>
      </c>
      <c r="F13" s="17">
        <f t="shared" si="1"/>
        <v>3.76146788990826</v>
      </c>
      <c r="G13" s="17">
        <f t="shared" si="2"/>
        <v>4.1</v>
      </c>
      <c r="H13" s="9">
        <f t="shared" si="3"/>
        <v>1820.5504587156</v>
      </c>
      <c r="I13" s="9">
        <f t="shared" si="4"/>
        <v>1984.4</v>
      </c>
      <c r="J13" s="9">
        <f t="shared" si="5"/>
        <v>3.2</v>
      </c>
      <c r="K13" s="9">
        <f t="shared" si="6"/>
        <v>1548.8</v>
      </c>
      <c r="L13" s="7"/>
      <c r="M13" s="14"/>
      <c r="N13" s="14"/>
    </row>
    <row r="14" ht="57" spans="1:14">
      <c r="A14" s="14">
        <v>94</v>
      </c>
      <c r="B14" s="15">
        <v>45951</v>
      </c>
      <c r="C14" s="16" t="s">
        <v>108</v>
      </c>
      <c r="D14" s="14" cm="1">
        <f t="array" ref="D14">SUM(VALUE(SUBSTITUTE(_xlfn.TEXTAFTER(_xlfn.TEXTSPLIT(C14,CHAR(10)),"-",-1),"km","")))</f>
        <v>323</v>
      </c>
      <c r="E14" s="14">
        <f t="shared" si="7"/>
        <v>198</v>
      </c>
      <c r="F14" s="17">
        <f t="shared" si="1"/>
        <v>3.76146788990826</v>
      </c>
      <c r="G14" s="17">
        <f t="shared" si="2"/>
        <v>4.1</v>
      </c>
      <c r="H14" s="9">
        <f t="shared" si="3"/>
        <v>1214.95412844037</v>
      </c>
      <c r="I14" s="9">
        <f t="shared" si="4"/>
        <v>1324.3</v>
      </c>
      <c r="J14" s="9">
        <f t="shared" si="5"/>
        <v>3.2</v>
      </c>
      <c r="K14" s="9">
        <f t="shared" si="6"/>
        <v>1033.6</v>
      </c>
      <c r="L14" s="7"/>
      <c r="M14" s="14"/>
      <c r="N14" s="14"/>
    </row>
    <row r="15" spans="1:14">
      <c r="A15" s="14">
        <v>95</v>
      </c>
      <c r="B15" s="15">
        <v>45951</v>
      </c>
      <c r="C15" s="16" t="s">
        <v>109</v>
      </c>
      <c r="D15" s="14" cm="1">
        <f t="array" ref="D15">SUM(VALUE(SUBSTITUTE(_xlfn.TEXTAFTER(_xlfn.TEXTSPLIT(C15,CHAR(10)),"-",-1),"km","")))</f>
        <v>319</v>
      </c>
      <c r="E15" s="14">
        <f>98+55+74+3.6+39+50</f>
        <v>319.6</v>
      </c>
      <c r="F15" s="17">
        <f t="shared" si="1"/>
        <v>3.76146788990826</v>
      </c>
      <c r="G15" s="17">
        <f t="shared" si="2"/>
        <v>4.1</v>
      </c>
      <c r="H15" s="9">
        <f t="shared" si="3"/>
        <v>1199.90825688073</v>
      </c>
      <c r="I15" s="9">
        <f t="shared" si="4"/>
        <v>1307.9</v>
      </c>
      <c r="J15" s="9">
        <f t="shared" si="5"/>
        <v>3.2</v>
      </c>
      <c r="K15" s="9">
        <f t="shared" si="6"/>
        <v>1020.8</v>
      </c>
      <c r="L15" s="7"/>
      <c r="M15" s="14"/>
      <c r="N15" s="14"/>
    </row>
    <row r="16" ht="57" spans="1:14">
      <c r="A16" s="14">
        <v>96</v>
      </c>
      <c r="B16" s="15">
        <v>45951</v>
      </c>
      <c r="C16" s="16" t="s">
        <v>110</v>
      </c>
      <c r="D16" s="14" cm="1">
        <f t="array" ref="D16">SUM(VALUE(SUBSTITUTE(_xlfn.TEXTAFTER(_xlfn.TEXTSPLIT(C16,CHAR(10)),"-",-1),"km","")))</f>
        <v>266</v>
      </c>
      <c r="E16" s="14">
        <f>180+16+9.5+59+47</f>
        <v>311.5</v>
      </c>
      <c r="F16" s="17">
        <f t="shared" si="1"/>
        <v>3.94495412844037</v>
      </c>
      <c r="G16" s="17">
        <f t="shared" si="2"/>
        <v>4.3</v>
      </c>
      <c r="H16" s="9">
        <f t="shared" si="3"/>
        <v>1049.35779816514</v>
      </c>
      <c r="I16" s="9">
        <f t="shared" si="4"/>
        <v>1143.8</v>
      </c>
      <c r="J16" s="9">
        <f t="shared" si="5"/>
        <v>3.5</v>
      </c>
      <c r="K16" s="9">
        <f t="shared" si="6"/>
        <v>931</v>
      </c>
      <c r="L16" s="7"/>
      <c r="M16" s="14"/>
      <c r="N16" s="14"/>
    </row>
    <row r="17" ht="14" customHeight="1" spans="1:14">
      <c r="A17" s="14">
        <v>97</v>
      </c>
      <c r="B17" s="15"/>
      <c r="C17" s="16"/>
      <c r="D17" s="14" t="e" cm="1">
        <f t="array" ref="D17">SUM(VALUE(SUBSTITUTE(_xlfn.TEXTAFTER(_xlfn.TEXTSPLIT(C17,CHAR(10)),"-",-1),"km","")))</f>
        <v>#VALUE!</v>
      </c>
      <c r="E17" s="14">
        <f>120+109+53+32</f>
        <v>314</v>
      </c>
      <c r="F17" s="17" t="e">
        <f t="shared" si="1"/>
        <v>#VALUE!</v>
      </c>
      <c r="G17" s="17" t="e">
        <f t="shared" si="2"/>
        <v>#VALUE!</v>
      </c>
      <c r="H17" s="9" t="e">
        <f t="shared" si="3"/>
        <v>#VALUE!</v>
      </c>
      <c r="I17" s="9" t="e">
        <f t="shared" si="4"/>
        <v>#VALUE!</v>
      </c>
      <c r="J17" s="9" t="e">
        <f t="shared" si="5"/>
        <v>#VALUE!</v>
      </c>
      <c r="K17" s="9" t="e">
        <f t="shared" si="6"/>
        <v>#VALUE!</v>
      </c>
      <c r="L17" s="7"/>
      <c r="M17" s="14"/>
      <c r="N17" s="14"/>
    </row>
    <row r="18" spans="1:14">
      <c r="A18" s="14">
        <v>98</v>
      </c>
      <c r="B18" s="15"/>
      <c r="C18" s="16"/>
      <c r="D18" s="14" t="e" cm="1">
        <f t="array" ref="D18">SUM(VALUE(SUBSTITUTE(_xlfn.TEXTAFTER(_xlfn.TEXTSPLIT(C18,CHAR(10)),"-",-1),"km","")))</f>
        <v>#VALUE!</v>
      </c>
      <c r="E18" s="14">
        <f>169+1.5+39+17+4.6</f>
        <v>231.1</v>
      </c>
      <c r="F18" s="17" t="e">
        <f t="shared" si="1"/>
        <v>#VALUE!</v>
      </c>
      <c r="G18" s="17" t="e">
        <f t="shared" si="2"/>
        <v>#VALUE!</v>
      </c>
      <c r="H18" s="9" t="e">
        <f t="shared" si="3"/>
        <v>#VALUE!</v>
      </c>
      <c r="I18" s="9" t="e">
        <f t="shared" si="4"/>
        <v>#VALUE!</v>
      </c>
      <c r="J18" s="9" t="e">
        <f t="shared" si="5"/>
        <v>#VALUE!</v>
      </c>
      <c r="K18" s="9" t="e">
        <f t="shared" si="6"/>
        <v>#VALUE!</v>
      </c>
      <c r="L18" s="7"/>
      <c r="M18" s="14"/>
      <c r="N18" s="14"/>
    </row>
    <row r="19" spans="1:14">
      <c r="A19" s="14">
        <v>99</v>
      </c>
      <c r="B19" s="15"/>
      <c r="C19" s="16"/>
      <c r="D19" s="14" t="e" cm="1">
        <f t="array" ref="D19">SUM(VALUE(SUBSTITUTE(_xlfn.TEXTAFTER(_xlfn.TEXTSPLIT(C19,CHAR(10)),"-",-1),"km","")))</f>
        <v>#VALUE!</v>
      </c>
      <c r="E19" s="14">
        <f t="shared" ref="E19:E34" si="8">35+67+10+12+10+6</f>
        <v>140</v>
      </c>
      <c r="F19" s="17" t="e">
        <f t="shared" si="1"/>
        <v>#VALUE!</v>
      </c>
      <c r="G19" s="17" t="e">
        <f t="shared" si="2"/>
        <v>#VALUE!</v>
      </c>
      <c r="H19" s="9" t="e">
        <f t="shared" si="3"/>
        <v>#VALUE!</v>
      </c>
      <c r="I19" s="9" t="e">
        <f t="shared" si="4"/>
        <v>#VALUE!</v>
      </c>
      <c r="J19" s="9" t="e">
        <f t="shared" si="5"/>
        <v>#VALUE!</v>
      </c>
      <c r="K19" s="9" t="e">
        <f t="shared" si="6"/>
        <v>#VALUE!</v>
      </c>
      <c r="L19" s="7"/>
      <c r="M19" s="14"/>
      <c r="N19" s="14"/>
    </row>
    <row r="20" spans="1:14">
      <c r="A20" s="14">
        <v>100</v>
      </c>
      <c r="B20" s="15"/>
      <c r="C20" s="16"/>
      <c r="D20" s="14" t="e" cm="1">
        <f t="array" ref="D20">SUM(VALUE(SUBSTITUTE(_xlfn.TEXTAFTER(_xlfn.TEXTSPLIT(C20,CHAR(10)),"-",-1),"km","")))</f>
        <v>#VALUE!</v>
      </c>
      <c r="E20" s="14">
        <f t="shared" si="8"/>
        <v>140</v>
      </c>
      <c r="F20" s="17" t="e">
        <f t="shared" si="1"/>
        <v>#VALUE!</v>
      </c>
      <c r="G20" s="17" t="e">
        <f t="shared" si="2"/>
        <v>#VALUE!</v>
      </c>
      <c r="H20" s="9" t="e">
        <f t="shared" si="3"/>
        <v>#VALUE!</v>
      </c>
      <c r="I20" s="9" t="e">
        <f t="shared" si="4"/>
        <v>#VALUE!</v>
      </c>
      <c r="J20" s="9" t="e">
        <f t="shared" si="5"/>
        <v>#VALUE!</v>
      </c>
      <c r="K20" s="9" t="e">
        <f t="shared" si="6"/>
        <v>#VALUE!</v>
      </c>
      <c r="L20" s="7"/>
      <c r="M20" s="14"/>
      <c r="N20" s="14"/>
    </row>
    <row r="21" spans="1:14">
      <c r="A21" s="14">
        <v>101</v>
      </c>
      <c r="B21" s="15"/>
      <c r="C21" s="16"/>
      <c r="D21" s="14" t="e" cm="1">
        <f t="array" ref="D21">SUM(VALUE(SUBSTITUTE(_xlfn.TEXTAFTER(_xlfn.TEXTSPLIT(C21,CHAR(10)),"-",-1),"km","")))</f>
        <v>#VALUE!</v>
      </c>
      <c r="E21" s="14">
        <f t="shared" si="8"/>
        <v>140</v>
      </c>
      <c r="F21" s="17" t="e">
        <f t="shared" si="1"/>
        <v>#VALUE!</v>
      </c>
      <c r="G21" s="17" t="e">
        <f t="shared" si="2"/>
        <v>#VALUE!</v>
      </c>
      <c r="H21" s="9" t="e">
        <f t="shared" si="3"/>
        <v>#VALUE!</v>
      </c>
      <c r="I21" s="9" t="e">
        <f t="shared" si="4"/>
        <v>#VALUE!</v>
      </c>
      <c r="J21" s="9" t="e">
        <f t="shared" si="5"/>
        <v>#VALUE!</v>
      </c>
      <c r="K21" s="9" t="e">
        <f t="shared" si="6"/>
        <v>#VALUE!</v>
      </c>
      <c r="L21" s="7"/>
      <c r="M21" s="14"/>
      <c r="N21" s="14"/>
    </row>
    <row r="22" spans="1:14">
      <c r="A22" s="14">
        <v>102</v>
      </c>
      <c r="B22" s="15"/>
      <c r="C22" s="16"/>
      <c r="D22" s="14" t="e" cm="1">
        <f t="array" ref="D22">SUM(VALUE(SUBSTITUTE(_xlfn.TEXTAFTER(_xlfn.TEXTSPLIT(C22,CHAR(10)),"-",-1),"km","")))</f>
        <v>#VALUE!</v>
      </c>
      <c r="E22" s="14">
        <f t="shared" si="8"/>
        <v>140</v>
      </c>
      <c r="F22" s="17" t="e">
        <f t="shared" si="1"/>
        <v>#VALUE!</v>
      </c>
      <c r="G22" s="17" t="e">
        <f t="shared" si="2"/>
        <v>#VALUE!</v>
      </c>
      <c r="H22" s="9" t="e">
        <f t="shared" si="3"/>
        <v>#VALUE!</v>
      </c>
      <c r="I22" s="9" t="e">
        <f t="shared" si="4"/>
        <v>#VALUE!</v>
      </c>
      <c r="J22" s="9" t="e">
        <f t="shared" si="5"/>
        <v>#VALUE!</v>
      </c>
      <c r="K22" s="9" t="e">
        <f t="shared" si="6"/>
        <v>#VALUE!</v>
      </c>
      <c r="L22" s="7"/>
      <c r="M22" s="14"/>
      <c r="N22" s="14"/>
    </row>
    <row r="23" spans="1:14">
      <c r="A23" s="14">
        <v>103</v>
      </c>
      <c r="B23" s="15"/>
      <c r="C23" s="16"/>
      <c r="D23" s="14" t="e" cm="1">
        <f t="array" ref="D23">SUM(VALUE(SUBSTITUTE(_xlfn.TEXTAFTER(_xlfn.TEXTSPLIT(C23,CHAR(10)),"-",-1),"km","")))</f>
        <v>#VALUE!</v>
      </c>
      <c r="E23" s="14">
        <f t="shared" si="8"/>
        <v>140</v>
      </c>
      <c r="F23" s="17" t="e">
        <f t="shared" si="1"/>
        <v>#VALUE!</v>
      </c>
      <c r="G23" s="17" t="e">
        <f t="shared" si="2"/>
        <v>#VALUE!</v>
      </c>
      <c r="H23" s="9" t="e">
        <f t="shared" si="3"/>
        <v>#VALUE!</v>
      </c>
      <c r="I23" s="9" t="e">
        <f t="shared" si="4"/>
        <v>#VALUE!</v>
      </c>
      <c r="J23" s="9" t="e">
        <f t="shared" si="5"/>
        <v>#VALUE!</v>
      </c>
      <c r="K23" s="9" t="e">
        <f t="shared" si="6"/>
        <v>#VALUE!</v>
      </c>
      <c r="L23" s="7"/>
      <c r="M23" s="14"/>
      <c r="N23" s="14"/>
    </row>
    <row r="24" spans="1:14">
      <c r="A24" s="14">
        <v>104</v>
      </c>
      <c r="B24" s="15"/>
      <c r="C24" s="16"/>
      <c r="D24" s="14" t="e" cm="1">
        <f t="array" ref="D24">SUM(VALUE(SUBSTITUTE(_xlfn.TEXTAFTER(_xlfn.TEXTSPLIT(C24,CHAR(10)),"-",-1),"km","")))</f>
        <v>#VALUE!</v>
      </c>
      <c r="E24" s="14">
        <f t="shared" si="8"/>
        <v>140</v>
      </c>
      <c r="F24" s="17" t="e">
        <f t="shared" si="1"/>
        <v>#VALUE!</v>
      </c>
      <c r="G24" s="17" t="e">
        <f t="shared" si="2"/>
        <v>#VALUE!</v>
      </c>
      <c r="H24" s="9" t="e">
        <f t="shared" si="3"/>
        <v>#VALUE!</v>
      </c>
      <c r="I24" s="9" t="e">
        <f t="shared" si="4"/>
        <v>#VALUE!</v>
      </c>
      <c r="J24" s="9" t="e">
        <f t="shared" si="5"/>
        <v>#VALUE!</v>
      </c>
      <c r="K24" s="9" t="e">
        <f t="shared" si="6"/>
        <v>#VALUE!</v>
      </c>
      <c r="L24" s="7"/>
      <c r="M24" s="14"/>
      <c r="N24" s="14"/>
    </row>
    <row r="25" spans="1:14">
      <c r="A25" s="14">
        <v>105</v>
      </c>
      <c r="B25" s="15"/>
      <c r="C25" s="16"/>
      <c r="D25" s="14" t="e" cm="1">
        <f t="array" ref="D25">SUM(VALUE(SUBSTITUTE(_xlfn.TEXTAFTER(_xlfn.TEXTSPLIT(C25,CHAR(10)),"-",-1),"km","")))</f>
        <v>#VALUE!</v>
      </c>
      <c r="E25" s="14">
        <f t="shared" si="8"/>
        <v>140</v>
      </c>
      <c r="F25" s="17" t="e">
        <f t="shared" si="1"/>
        <v>#VALUE!</v>
      </c>
      <c r="G25" s="17" t="e">
        <f t="shared" si="2"/>
        <v>#VALUE!</v>
      </c>
      <c r="H25" s="9" t="e">
        <f t="shared" si="3"/>
        <v>#VALUE!</v>
      </c>
      <c r="I25" s="9" t="e">
        <f t="shared" si="4"/>
        <v>#VALUE!</v>
      </c>
      <c r="J25" s="9" t="e">
        <f t="shared" si="5"/>
        <v>#VALUE!</v>
      </c>
      <c r="K25" s="9" t="e">
        <f t="shared" si="6"/>
        <v>#VALUE!</v>
      </c>
      <c r="L25" s="7"/>
      <c r="M25" s="14"/>
      <c r="N25" s="14"/>
    </row>
    <row r="26" spans="1:14">
      <c r="A26" s="14">
        <v>106</v>
      </c>
      <c r="B26" s="15"/>
      <c r="C26" s="16"/>
      <c r="D26" s="14" t="e" cm="1">
        <f t="array" ref="D26">SUM(VALUE(SUBSTITUTE(_xlfn.TEXTAFTER(_xlfn.TEXTSPLIT(C26,CHAR(10)),"-",-1),"km","")))</f>
        <v>#VALUE!</v>
      </c>
      <c r="E26" s="14">
        <f t="shared" si="8"/>
        <v>140</v>
      </c>
      <c r="F26" s="17" t="e">
        <f t="shared" si="1"/>
        <v>#VALUE!</v>
      </c>
      <c r="G26" s="17" t="e">
        <f t="shared" si="2"/>
        <v>#VALUE!</v>
      </c>
      <c r="H26" s="9" t="e">
        <f t="shared" si="3"/>
        <v>#VALUE!</v>
      </c>
      <c r="I26" s="9" t="e">
        <f t="shared" si="4"/>
        <v>#VALUE!</v>
      </c>
      <c r="J26" s="9" t="e">
        <f t="shared" si="5"/>
        <v>#VALUE!</v>
      </c>
      <c r="K26" s="9" t="e">
        <f t="shared" si="6"/>
        <v>#VALUE!</v>
      </c>
      <c r="L26" s="7"/>
      <c r="M26" s="14"/>
      <c r="N26" s="14"/>
    </row>
    <row r="27" spans="1:14">
      <c r="A27" s="14">
        <v>107</v>
      </c>
      <c r="B27" s="15"/>
      <c r="C27" s="16"/>
      <c r="D27" s="14" t="e" cm="1">
        <f t="array" ref="D27">SUM(VALUE(SUBSTITUTE(_xlfn.TEXTAFTER(_xlfn.TEXTSPLIT(C27,CHAR(10)),"-",-1),"km","")))</f>
        <v>#VALUE!</v>
      </c>
      <c r="E27" s="14">
        <f t="shared" si="8"/>
        <v>140</v>
      </c>
      <c r="F27" s="17" t="e">
        <f t="shared" si="1"/>
        <v>#VALUE!</v>
      </c>
      <c r="G27" s="17" t="e">
        <f t="shared" si="2"/>
        <v>#VALUE!</v>
      </c>
      <c r="H27" s="9" t="e">
        <f t="shared" si="3"/>
        <v>#VALUE!</v>
      </c>
      <c r="I27" s="9" t="e">
        <f t="shared" si="4"/>
        <v>#VALUE!</v>
      </c>
      <c r="J27" s="9" t="e">
        <f t="shared" si="5"/>
        <v>#VALUE!</v>
      </c>
      <c r="K27" s="9" t="e">
        <f t="shared" si="6"/>
        <v>#VALUE!</v>
      </c>
      <c r="L27" s="7"/>
      <c r="M27" s="14"/>
      <c r="N27" s="14"/>
    </row>
    <row r="28" spans="1:14">
      <c r="A28" s="14">
        <v>108</v>
      </c>
      <c r="B28" s="15"/>
      <c r="C28" s="16"/>
      <c r="D28" s="14" t="e" cm="1">
        <f t="array" ref="D28">SUM(VALUE(SUBSTITUTE(_xlfn.TEXTAFTER(_xlfn.TEXTSPLIT(C28,CHAR(10)),"-",-1),"km","")))</f>
        <v>#VALUE!</v>
      </c>
      <c r="E28" s="14">
        <f t="shared" si="8"/>
        <v>140</v>
      </c>
      <c r="F28" s="17" t="e">
        <f t="shared" si="1"/>
        <v>#VALUE!</v>
      </c>
      <c r="G28" s="17" t="e">
        <f t="shared" ref="G28:G34" si="9">IF(D28&gt;=301,4.1,IF(D28&gt;=201,4.3,IF(D28&gt;=101,4.5,"")))</f>
        <v>#VALUE!</v>
      </c>
      <c r="H28" s="9" t="e">
        <f t="shared" si="3"/>
        <v>#VALUE!</v>
      </c>
      <c r="I28" s="9" t="e">
        <f t="shared" si="4"/>
        <v>#VALUE!</v>
      </c>
      <c r="J28" s="9" t="e">
        <f t="shared" ref="J28:J34" si="10">IF(D28&gt;=301,3.2,IF(D28&gt;=201,3.5,IF(D28&gt;=101,3.5,"")))</f>
        <v>#VALUE!</v>
      </c>
      <c r="K28" s="9" t="e">
        <f t="shared" si="6"/>
        <v>#VALUE!</v>
      </c>
      <c r="L28" s="7"/>
      <c r="M28" s="14"/>
      <c r="N28" s="14"/>
    </row>
    <row r="29" spans="1:14">
      <c r="A29" s="14">
        <v>109</v>
      </c>
      <c r="B29" s="15"/>
      <c r="C29" s="16"/>
      <c r="D29" s="14" t="e" cm="1">
        <f t="array" ref="D29">SUM(VALUE(SUBSTITUTE(_xlfn.TEXTAFTER(_xlfn.TEXTSPLIT(C29,CHAR(10)),"-",-1),"km","")))</f>
        <v>#VALUE!</v>
      </c>
      <c r="E29" s="14">
        <f t="shared" si="8"/>
        <v>140</v>
      </c>
      <c r="F29" s="17" t="e">
        <f t="shared" si="1"/>
        <v>#VALUE!</v>
      </c>
      <c r="G29" s="17" t="e">
        <f t="shared" si="9"/>
        <v>#VALUE!</v>
      </c>
      <c r="H29" s="9" t="e">
        <f t="shared" si="3"/>
        <v>#VALUE!</v>
      </c>
      <c r="I29" s="9" t="e">
        <f t="shared" si="4"/>
        <v>#VALUE!</v>
      </c>
      <c r="J29" s="9" t="e">
        <f t="shared" si="10"/>
        <v>#VALUE!</v>
      </c>
      <c r="K29" s="9" t="e">
        <f t="shared" si="6"/>
        <v>#VALUE!</v>
      </c>
      <c r="L29" s="7"/>
      <c r="M29" s="14"/>
      <c r="N29" s="14"/>
    </row>
    <row r="30" spans="1:14">
      <c r="A30" s="14">
        <v>110</v>
      </c>
      <c r="B30" s="15"/>
      <c r="C30" s="16"/>
      <c r="D30" s="14" t="e" cm="1">
        <f t="array" ref="D30">SUM(VALUE(SUBSTITUTE(_xlfn.TEXTAFTER(_xlfn.TEXTSPLIT(C30,CHAR(10)),"-",-1),"km","")))</f>
        <v>#VALUE!</v>
      </c>
      <c r="E30" s="14">
        <f t="shared" si="8"/>
        <v>140</v>
      </c>
      <c r="F30" s="17" t="e">
        <f t="shared" si="1"/>
        <v>#VALUE!</v>
      </c>
      <c r="G30" s="17" t="e">
        <f t="shared" si="9"/>
        <v>#VALUE!</v>
      </c>
      <c r="H30" s="9" t="e">
        <f t="shared" si="3"/>
        <v>#VALUE!</v>
      </c>
      <c r="I30" s="9" t="e">
        <f t="shared" si="4"/>
        <v>#VALUE!</v>
      </c>
      <c r="J30" s="9" t="e">
        <f t="shared" si="10"/>
        <v>#VALUE!</v>
      </c>
      <c r="K30" s="9" t="e">
        <f t="shared" si="6"/>
        <v>#VALUE!</v>
      </c>
      <c r="L30" s="7"/>
      <c r="M30" s="14"/>
      <c r="N30" s="14"/>
    </row>
    <row r="31" spans="1:14">
      <c r="A31" s="14">
        <v>111</v>
      </c>
      <c r="B31" s="15"/>
      <c r="C31" s="16"/>
      <c r="D31" s="14" t="e" cm="1">
        <f t="array" ref="D31">SUM(VALUE(SUBSTITUTE(_xlfn.TEXTAFTER(_xlfn.TEXTSPLIT(C31,CHAR(10)),"-",-1),"km","")))</f>
        <v>#VALUE!</v>
      </c>
      <c r="E31" s="14">
        <f t="shared" si="8"/>
        <v>140</v>
      </c>
      <c r="F31" s="17" t="e">
        <f t="shared" si="1"/>
        <v>#VALUE!</v>
      </c>
      <c r="G31" s="17" t="e">
        <f t="shared" si="9"/>
        <v>#VALUE!</v>
      </c>
      <c r="H31" s="9" t="e">
        <f t="shared" si="3"/>
        <v>#VALUE!</v>
      </c>
      <c r="I31" s="9" t="e">
        <f t="shared" si="4"/>
        <v>#VALUE!</v>
      </c>
      <c r="J31" s="9" t="e">
        <f t="shared" si="10"/>
        <v>#VALUE!</v>
      </c>
      <c r="K31" s="9" t="e">
        <f t="shared" si="6"/>
        <v>#VALUE!</v>
      </c>
      <c r="L31" s="7"/>
      <c r="M31" s="14"/>
      <c r="N31" s="14"/>
    </row>
    <row r="32" spans="1:14">
      <c r="A32" s="14">
        <v>112</v>
      </c>
      <c r="B32" s="15"/>
      <c r="C32" s="16"/>
      <c r="D32" s="14" t="e" cm="1">
        <f t="array" ref="D32">SUM(VALUE(SUBSTITUTE(_xlfn.TEXTAFTER(_xlfn.TEXTSPLIT(C32,CHAR(10)),"-",-1),"km","")))</f>
        <v>#VALUE!</v>
      </c>
      <c r="E32" s="14">
        <f t="shared" si="8"/>
        <v>140</v>
      </c>
      <c r="F32" s="17" t="e">
        <f t="shared" si="1"/>
        <v>#VALUE!</v>
      </c>
      <c r="G32" s="17" t="e">
        <f t="shared" si="9"/>
        <v>#VALUE!</v>
      </c>
      <c r="H32" s="9" t="e">
        <f t="shared" si="3"/>
        <v>#VALUE!</v>
      </c>
      <c r="I32" s="9" t="e">
        <f t="shared" si="4"/>
        <v>#VALUE!</v>
      </c>
      <c r="J32" s="9" t="e">
        <f t="shared" si="10"/>
        <v>#VALUE!</v>
      </c>
      <c r="K32" s="9" t="e">
        <f t="shared" si="6"/>
        <v>#VALUE!</v>
      </c>
      <c r="L32" s="7"/>
      <c r="M32" s="14"/>
      <c r="N32" s="14"/>
    </row>
    <row r="33" spans="1:14">
      <c r="A33" s="14">
        <v>113</v>
      </c>
      <c r="B33" s="15"/>
      <c r="C33" s="16"/>
      <c r="D33" s="14" t="e" cm="1">
        <f t="array" ref="D33">SUM(VALUE(SUBSTITUTE(_xlfn.TEXTAFTER(_xlfn.TEXTSPLIT(C33,CHAR(10)),"-",-1),"km","")))</f>
        <v>#VALUE!</v>
      </c>
      <c r="E33" s="14">
        <f t="shared" si="8"/>
        <v>140</v>
      </c>
      <c r="F33" s="17" t="e">
        <f t="shared" si="1"/>
        <v>#VALUE!</v>
      </c>
      <c r="G33" s="17" t="e">
        <f t="shared" si="9"/>
        <v>#VALUE!</v>
      </c>
      <c r="H33" s="9" t="e">
        <f t="shared" si="3"/>
        <v>#VALUE!</v>
      </c>
      <c r="I33" s="9" t="e">
        <f t="shared" si="4"/>
        <v>#VALUE!</v>
      </c>
      <c r="J33" s="9" t="e">
        <f t="shared" si="10"/>
        <v>#VALUE!</v>
      </c>
      <c r="K33" s="9" t="e">
        <f t="shared" si="6"/>
        <v>#VALUE!</v>
      </c>
      <c r="L33" s="7"/>
      <c r="M33" s="14"/>
      <c r="N33" s="14"/>
    </row>
    <row r="34" spans="1:14">
      <c r="A34" s="14">
        <v>114</v>
      </c>
      <c r="B34" s="15"/>
      <c r="C34" s="16"/>
      <c r="D34" s="14" t="e" cm="1">
        <f t="array" ref="D34">SUM(VALUE(SUBSTITUTE(_xlfn.TEXTAFTER(_xlfn.TEXTSPLIT(C34,CHAR(10)),"-",-1),"km","")))</f>
        <v>#VALUE!</v>
      </c>
      <c r="E34" s="14">
        <f t="shared" si="8"/>
        <v>140</v>
      </c>
      <c r="F34" s="17" t="e">
        <f t="shared" si="1"/>
        <v>#VALUE!</v>
      </c>
      <c r="G34" s="17" t="e">
        <f t="shared" si="9"/>
        <v>#VALUE!</v>
      </c>
      <c r="H34" s="9" t="e">
        <f t="shared" si="3"/>
        <v>#VALUE!</v>
      </c>
      <c r="I34" s="9" t="e">
        <f t="shared" si="4"/>
        <v>#VALUE!</v>
      </c>
      <c r="J34" s="9" t="e">
        <f t="shared" si="10"/>
        <v>#VALUE!</v>
      </c>
      <c r="K34" s="9" t="e">
        <f t="shared" si="6"/>
        <v>#VALUE!</v>
      </c>
      <c r="L34" s="7"/>
      <c r="M34" s="14"/>
      <c r="N34" s="14"/>
    </row>
  </sheetData>
  <autoFilter xmlns:etc="http://www.wps.cn/officeDocument/2017/etCustomData" ref="A1:R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(3)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2025-07-01T12:54:00Z</dcterms:created>
  <dcterms:modified xsi:type="dcterms:W3CDTF">2025-10-27T13:57:27Z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BF9BB876009F43EA88AC294DF1BA5972_13</vt:lpwstr>
  </property>
  <property fmtid="{D5CDD505-2E9C-101B-9397-08002B2CF9AE}" pid="3" name="KSOProductBuildVer">
    <vt:lpwstr>2052-12.1.0.22529</vt:lpwstr>
  </property>
</Properties>
</file>