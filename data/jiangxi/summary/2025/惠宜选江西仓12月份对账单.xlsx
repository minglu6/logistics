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80"/>
  </bookViews>
  <sheets>
    <sheet name="Sheet1 (3)" sheetId="1" r:id="rId1"/>
    <sheet name="Sheet1 (2)" sheetId="2" r:id="rId2"/>
  </sheets>
  <definedNames>
    <definedName name="_xlnm._FilterDatabase" localSheetId="0" hidden="1">'Sheet1 (3)'!$A$1:$Q$145</definedName>
    <definedName name="_xlnm._FilterDatabase" localSheetId="1" hidden="1">'Sheet1 (2)'!$A$1:$R$34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<sst xmlns="http://schemas.openxmlformats.org/spreadsheetml/2006/main" count="203" uniqueCount="116">
  <si>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</si>
  <si>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</si>
  <si>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</si>
  <si>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</si>
  <si>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</si>
  <si>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</si>
  <si>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</si>
  <si>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</si>
  <si>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</si>
  <si>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</si>
  <si>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</si>
  <si>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</si>
  <si>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 (安义学府大道店)-42km
共橙一站式超市（奉新县迎宾大道店）-31km
共橙一站式超市（靖安清华大道店）-21km
共橙一站式超市（武宁月山路店）-97km
惠宜选 - 九江市修水店-81km
共橙一站式超市（修水县龙井路店）-6.3km</t>
  </si>
  <si>
    <t>上官斌</t>
  </si>
  <si>
    <t>共橙一站式超市（进贤吴万街店）-75km
共橙一站式超市（抚州迎宾大道店）-62km
共橙一站式超市（抚州玉茗路店）-7km
共橙一站式超市（崇仁站前路店）-34km
共橙一站式超市（宜黄县凤凰路店）-40km
共橙一站式超市（抚州乐安大道店）-58km
厉臣省钱超市（泰和钦顺路店）-146km</t>
  </si>
  <si>
    <t>吕信</t>
  </si>
  <si>
    <t>厉臣省钱超市（于都金山大道店）-359km
共橙一站式超市（赣县梅林大街店）-49km
共橙一站式超市（赣州五洲大道店）-10km
惠宜选超市（赣州章江北大道店）-7.7km
共橙一站式超市（赣江东江源大道店）-2.9km
共橙一站式超市（赣州迎宾大道店）-5.8km</t>
  </si>
  <si>
    <t>共橙一站式超市（宁都县登峰大道店）-293km
共橙一站式超市（会昌兴会路店）-117km
共橙一站式超市（安远腾飞路店）-103km
共橙一站式超市（定南龙亭路店）-67km
共橙一站式超市（龙南嘉吉路店）-34km
共橙一站式超市（全南滨江路店）-39km</t>
  </si>
  <si>
    <t>徐高浪</t>
  </si>
  <si>
    <t>共橙一站式超市（新干县金川大道店）-123km
共橙一站式超市（吉安青原大道店）-85km
共橙一站式超市（兴国县兴国大道店）-114km
共橙一站式超市（兴国县将军大道店）-2.1km
共橙一站式超市（于都杨公路店）-86km
共橙一站式超市（瑞金龙珠路店）-81km</t>
  </si>
  <si>
    <t>邓黎明</t>
  </si>
  <si>
    <t>共橙一站式超市（南昌京东大道店）-56km
共橙一站式超市（抚州金巢大道店）-106km
共橙一站式超市（抚州迎宾大道店）-3.5km
共橙一站式超市（抚州玉茗路店）-6.4km
共橙一站式超市（崇仁站前路店）-34km
共橙一站式超市（宜黄县凤凰路店）-40km
共橙一站式超市（抚州乐安大道店）-58km</t>
  </si>
  <si>
    <t>外调</t>
  </si>
  <si>
    <t>共橙一站式超市（南昌云飞路店）-36km
共橙一站式超市 (永修建昌大道店)-86km
共橙一站式超市（德安宝塔大道店）-41km
厉臣 - 九江市都昌东风大道店-68km
共橙一站式超市（庐山玉帘路店）-75km
共橙一站式超市（九江庐山西路店）-43km
惠宜选 - 九江市柴桑店-1.9km
共橙一站式超市 (瑞昌赤乌大道店)-40km
共橙一站式超市（瑞昌人民北路店）-2.1km</t>
  </si>
  <si>
    <t>共橙一站式超市（丰城府佑东路店）-61km
共橙一站式超市（丰城紫云南大道店）-2.1km
共橙一站式超市（樟树药都路店）-30km
共橙一站式超市（樟树金都路店）-1.3km
共橙一站式超市（新余抱石大道店）-74km</t>
  </si>
  <si>
    <t>共橙一站式超市（万安建设路店）-288km
共橙一站式超市（赣州龙岭镇店）-110km
共橙一站式超市（南康蓝田大道店）-8.6km
共橙一站式超市（上犹文锦路店）-40km
共橙一站式超市（大余建安路店）-76km
厉臣便利店（信丰深圳大道店）-78km
共橙一站式超市（信丰沿江路店）-7.7km</t>
  </si>
  <si>
    <t>梅官平</t>
  </si>
  <si>
    <t>共橙一站式超市（南昌长富大道店）-19km
共橙一站式超市（宁都博生西路店）-302km
共橙一站式超市（宁都县登峰大道店）-2km
惠宜选超市（石城迎宾大道店）-60km
共橙一站式超市（瑞金龙珠路店）-70km
共橙一站式超市（会昌兴会路店）-43km
共橙一站式超市（安远腾飞路店）-103km
共橙一站式超市（定南龙亭路店）-67km
共橙一站式超市（龙南嘉吉路店）-34km</t>
  </si>
  <si>
    <t>吴胜龙</t>
  </si>
  <si>
    <t>共橙一站式超市（奉新县迎宾大道店）-45km
共橙一站式超市（高安瑞阳大道店）-38km
惠宜选超市（高安沿江中路店）-3km
厉臣 - 宜春市上高店-55km
共橙一站式超市（宜丰县新昌中路店）-24km
共橙一站式超市（万载县康乐大道店）-56km</t>
  </si>
  <si>
    <t>共橙一站式超市（南昌锦江路店）-28km
共橙一站式超市（南昌经开区庐山南大道店）-5.9km
共橙一站式超市 (永修建昌大道店)-39km
共橙一站式超市（共青城南湖大道店）-34km
惠宜选超市（共青城育才路店）-1km
共橙一站式超市 (瑞昌赤乌大道店)-76km
共橙一站式超市（瑞昌人民北路店）-2.6km</t>
  </si>
  <si>
    <t>共橙一站式超市（樟树药都路店）-85km
共橙一站式超市（樟树金都路店）-1.3km
共橙一站式超市（丰城府佑东路店）-30km
共橙一站式超市（抚州金巢大道店）-76km
共橙一站式超市（抚州迎宾大道店）-3.3km
共橙一站式超市（抚州玉茗路店）-7km
共橙一站式超市（崇仁站前路店）-34km
共橙一站式超市（抚州乐安大道店）-60km</t>
  </si>
  <si>
    <t>共橙一站式超市（万安建设路店）-288km
共橙一站式超市（遂川川江南路店）-40km
共橙一站式超市（赣州龙岭镇店）-89km
共橙一站式超市（南康蓝田大道店）-8.6km
共橙一站式超市（上犹文锦路店）-40km
共橙一站式超市（崇义章源大道店）-37km
共橙一站式超市（大余建安路店）-45km
共橙一站式超市（信丰沿江路店）-77km</t>
  </si>
  <si>
    <t>共橙一站式超市（南昌长富大道店）-19km
共橙一站式超市（新干县金川大道店）-132km
共橙一站式超市（永丰欧阳修大道店）-61km
共橙一站式超市（吉水万里大道店）-39km
共橙一站式超市（吉安县赣江大道店）-33km
共橙一站式超市（泰和澄江大道店）-29km
共橙一站式超市（井冈山步云山路店）-74km
共橙一站式超市（永新湘赣大道店）-46km</t>
  </si>
  <si>
    <t>共橙一站式超市（景德镇紫晶路店）-223km
共橙一站式超市（景德镇翠云路店）-10km
共橙一站式超市（浮梁县三贤街店）-12km
共橙一站式超市（浮梁县新昌北路店）-1.4km</t>
  </si>
  <si>
    <t>供橙超市（南苑一路店）-45km</t>
  </si>
  <si>
    <t>刘绥高</t>
  </si>
  <si>
    <t>厉臣 - 宜春市上高店-94km
共橙一站式超市（新余中山路店）-58km
共橙一站式超市（新余抱石大道店）-4.6km
共橙一站式超市（新余市青年路店）-5km
共橙一站式超市（分宜县天工南大道店）-29km</t>
  </si>
  <si>
    <t>共橙一站式超市（南昌小洲路店）-35km
共橙一站式超市（抚州迎宾大道店）-101km
共橙一站式超市（抚州玉茗路店）-7km
共橙一站式超市（崇仁站前路店）-34km
共橙一站式超市（宜黄县凤凰路店）-40km
共橙一站式超市（抚州乐安大道店）-58km
厉臣省钱超市（泰和钦顺路店）-146km</t>
  </si>
  <si>
    <t>共橙一站式超市（南昌长富大道店）-19km
共橙一站式超市（九江庐山西路店）-118km
惠宜选 - 九江市柴桑店-1.7km
共橙一站式超市（九江八里湖大道店）-15km
共橙一站式超市 (瑞昌赤乌大道店)-46km
共橙一站式超市（瑞昌人民北路店）-2.1km</t>
  </si>
  <si>
    <t>共橙一站式超市（南昌锦江路店）-28km
共橙一站式超市（南昌经开区庐山南大道店）-5.9km
共橙一站式超市 (永修建昌大道店)-39km
共橙一站式超市（共青城南湖大道店）-34km</t>
  </si>
  <si>
    <t>共橙一站式超市（宁都博生西路店）-291km
共橙一站式超市（瑞金龙珠路店）-77km
共橙一站式超市（会昌兴会路店）-43km
共橙一站式超市（安远腾飞路店）-103km
共橙一站式超市（定南龙亭路店）-67km
共橙一站式超市（龙南嘉吉路店）-34km</t>
  </si>
  <si>
    <t>共橙一站式超市（横峰兴安大道店）-237km
惠宜选 - 上饶吾悦广场店-35km
惠宜选 - 上饶广丰店-31km
共橙一站式超市（玉山三清大道店）-33km</t>
  </si>
  <si>
    <t>共橙一站式超市 (南昌招贤大道店)-16km
共橙一站式超市（万年建德大街店）-162km
共橙一站式超市（德兴滨河大道店）-86km
惠宜选 - 江西上饶市婺源店-61km</t>
  </si>
  <si>
    <t>共橙一站式超市（进贤昌盛路店）-79km
共橙一站式超市（余干县世纪大道店）-87km
共橙一站式超市（鄱阳县五一北路店）-46km
共橙一站式超市（鄱阳锦宇大道店）-3.7km
惠宜选超市（弋阳县梅山路店）-128km
共橙一站式超市（铅山狮江大道店）-34km</t>
  </si>
  <si>
    <t>共橙一站式超市（奉新县迎宾大道店）-45km
共橙一站式超市（高安瑞阳大道店）-38km
共橙一站式超市（宜丰县永康路店）-73km
共橙一站式超市（宜丰县新昌中路店）-2.4km
共橙一站式超市（铜鼓定江西路店）-66km
共橙一站式超市（修水县龙井路店）-79km
惠宜选 - 九江市修水店-4.4km
共橙一站式超市（武宁月山路店）-79km</t>
  </si>
  <si>
    <t>共橙一站式超市（南昌云飞路店）-36km
共橙一站式超市（南昌小洲路店）-6.4km
共橙一站式超市（进贤吴万街店）-55km
厉臣便利（东乡状元路店）-44km
共橙一站式超市（东乡求学路店）-2.1km
共橙一站式超市（鹰潭余江区白塔东路店）-25km
共橙一站式超市（鹰潭五洲路店）-24km
共橙一站式超市（鹰潭市林荫东路店）-3.4km
共橙一站式超市（贵溪雄石东路店）-20km</t>
  </si>
  <si>
    <t>共橙一站式超市（九江庐山西路店）-131km
惠宜选 - 九江市柴桑店-1.7km
共橙一站式超市（九江八里湖大道店）-15km
共橙一站式超市（九江花溪路店）-7km
共橙一站式超市（九江泰山路店）-11km
共橙一站式超市（九江浔阳东路店）-13km
共橙一站式超市（湖口渊明路店）-28km</t>
  </si>
  <si>
    <t>共橙一站式超市（进贤昌盛路店）-79km
惠宜选超市（弋阳县梅山路店）-134km
共橙一站式超市（横峰兴安大道店）-19km
惠宜选 - 上饶广丰店-68km
共橙一站式超市（玉山三清大道店）-34km</t>
  </si>
  <si>
    <t>厉臣省钱超市（泰和钦顺路店）-252km
共橙一站式超市（泰和澄江大道店）-1.5km
共橙一站式超市（万安建设路店）-54km
共橙一站式超市（遂川川江南路店）-40km
共橙一站式超市（上犹文锦路店）-93km
共橙一站式超市（大余建安路店）-76km
共橙一站式超市（全南滨江路店）-141km
共橙一站式超市（龙南嘉吉路店）-41km
共橙一站式超市（定南龙亭路店）-34km</t>
  </si>
  <si>
    <t>共橙一站式超市（乐平福泰路店）-197km
共橙一站式超市（景德镇紫晶路店）-46km
共橙一站式超市（景德镇翠云路店）-10km
共橙一站式超市（浮梁县三贤街店）-12km
共橙一站式超市（浮梁县新昌北路店）-1.4km</t>
  </si>
  <si>
    <t>共橙一站式超市（德安宝塔大道店）-93km
共橙一站式超市（九江八里湖大道店）-53km
共橙一站式超市（九江花溪路店）-7km
共橙一站式超市（九江泰山路店）-11km
共橙一站式超市（九江浔阳东路店）-13km
共橙一站式超市（湖口渊明路店）-28km
厉臣便利（彭泽县龙兴路店）-35km</t>
  </si>
  <si>
    <t>共橙一站式超市 (永修建昌大道店)-59km
共橙一站式超市（共青城南湖大道店）-34km
厉臣 - 九江市都昌东风大道店-75km
共橙一站式超市（庐山星光大道店）-76km
共橙一站式超市（庐山玉帘路店）-1.2km
共橙一站式超市（九江庐山西路店）-43km
惠宜选 - 九江市柴桑店-1.9km
共橙一站式超市 (瑞昌赤乌大道店)-40km
共橙一站式超市（瑞昌人民北路店）-2.1km</t>
  </si>
  <si>
    <t>共橙一站式超市（抚州金巢大道店）-117km
共橙一站式超市（抚州迎宾大道店）-3.3km
共橙一站式超市（抚州学成路店）-5.1km
共橙一站式超市（抚州玉茗路店）-2.6km
共橙一站式超市（崇仁站前路店）-34km
共橙一站式超市（宜黄县凤凰路店）-41km
共橙一站式超市（抚州乐安大道店）-58km</t>
  </si>
  <si>
    <t>共橙一站式超市（兴国县兴国大道店）-320km
共橙一站式超市（兴国县将军大道店）-2.1km
共橙一站式超市（于都杨公路店）-86km
共橙一站式超市（赣县梅林大街店）-51km
共橙一站式超市（赣州五洲大道店）-10km
惠宜选超市（赣州章江北大道店）-7.7km
共橙一站式超市（赣江东江源大道店）-2.9km
共橙一站式超市（赣州迎宾大道店）-5.8km</t>
  </si>
  <si>
    <t>共橙一站式超市（南城登高路店）-194km
共橙一站式超市（南丰南广路店）-44km
共橙一站式超市（广昌站前路店）-50km
共橙一站式超市（宁都县登峰大道店）-59km
共橙一站式超市（瑞金龙珠路店）-75km
共橙一站式超市（会昌兴会路店）-43km
共橙一站式超市（定南龙亭路店）-170km
共橙一站式超市（龙南嘉吉路店）-34km</t>
  </si>
  <si>
    <t>供橙超市（青山湖区京川幸福家园-高新南大道西50米）-47km</t>
  </si>
  <si>
    <t>供橙超市（佳利商城）-274km</t>
  </si>
  <si>
    <t>共橙一站式超市（高安瑞阳大道店）-41km
厉臣 - 宜春市上高店-54km
共橙一站式超市（宜丰县永康路店）-23km
共橙一站式超市（铜鼓定江西路店）-68km
共橙一站式超市（万载县康乐大道店）-78km
共橙一站式超市（万载县将军西大道店）-2.3km
共橙一站式超市（上栗李畋北大道店）-83km
共橙一站式超市（萍乡砚田路店）-37km</t>
  </si>
  <si>
    <t>共橙一站式超市（南昌小洲路店）-35km
共橙一站式超市（抚州迎宾大道店）-101km
共橙一站式超市（抚州学成路店）-5.1km
共橙一站式超市（抚州玉茗路店）-2.6km
共橙一站式超市（崇仁站前路店）-34km
共橙一站式超市（宜黄县凤凰路店）-40km
共橙一站式超市（抚州乐安大道店）-58km
厉臣省钱超市（泰和钦顺路店）-146km</t>
  </si>
  <si>
    <t>共橙一站式超市 (永修建昌大道店)-59km
共橙一站式超市（德安宝塔大道店）-41km
共橙一站式超市（九江庐山西路店）-51km
惠宜选 - 九江市柴桑店-1.9km
共橙一站式超市 (瑞昌赤乌大道店)-40km
共橙一站式超市（瑞昌人民北路店）-2.1km</t>
  </si>
  <si>
    <t>供橙超市（宜春上高县敖阳街道学园路-上高外国语学校旁）-96km</t>
  </si>
  <si>
    <t>共橙一站式超市（兴国县兴国大道店）-320km
共橙一站式超市（于都杨公路店）-88km
厉臣省钱超市（于都金山大道店）-10km
共橙一站式超市（赣县梅林大街店）-49km
共橙一站式超市（赣江东江源大道店）-15km
共橙一站式超市（赣州迎宾大道店）-8.7km</t>
  </si>
  <si>
    <t>共橙一站式超市（永丰欧阳修大道店）-191km
共橙一站式超市（吉水田侯路店）-59km
共橙一站式超市（泰和澄江大道店）-38km
共橙一站式超市（井冈山步云山路店）-74km
共橙一站式超市（永新湘赣大道店）-46km
共橙一站式超市（万安建设路店）-126km
共橙一站式超市（遂川川江南路店）-40km</t>
  </si>
  <si>
    <t>共橙一站式超市（南昌云飞路店）-36km
共橙一站式超市（进贤昌盛路店）-61km
共橙一站式超市（金溪县秀谷西大道店）-87km
共橙一站式超市（资溪县滨江路店）-52km
共橙一站式超市（南城登高路店）-71km
共橙一站式超市（南丰南广路店）-44km</t>
  </si>
  <si>
    <t>共橙一站式超市（南昌云飞路店）-36km
共橙一站式超市（南昌国威路店）-16km
共橙一站式超市 (永修建昌大道店)-63km
共橙一站式超市（共青城南湖大道店）-34km
共橙一站式超市（庐山玉帘路店）-52km
共橙一站式超市（庐山星光大道店）-1.5km
厉臣 - 九江市都昌东风大道店-49km</t>
  </si>
  <si>
    <t>共橙一站式超市（九江八里湖大道店）-141km
共橙一站式超市（九江花溪路店）-7km
共橙一站式超市（九江泰山路店）-11km
共橙一站式超市（九江浔阳东路店）-13km
共橙一站式超市（湖口渊明路店）-28km
厉臣便利（彭泽县龙兴路店）-35km</t>
  </si>
  <si>
    <t>共橙一站式超市（南昌锦江路店）-28km
共橙一站式超市（南昌经开区庐山南大道店）-5.9km
共橙一站式超市（德安宝塔大道店）-74km
共橙一站式超市（九江庐山西路店）-51km
惠宜选 - 九江市柴桑店-1.9km
共橙一站式超市 (瑞昌赤乌大道店)-40km
共橙一站式超市（瑞昌人民北路店）-2.1km</t>
  </si>
  <si>
    <t>共橙一站式超市（南昌安宝大道店）-37km
共橙一站式超市（兴国县兴国大道店）-308km
共橙一站式超市（兴国县将军大道店）-2.1km
共橙一站式超市（于都杨公路店）-86km
共橙一站式超市（赣县梅林大街店）-51km
惠宜选超市（赣州章江北大道店）-13km
共橙一站式超市（赣江东江源大道店）-2.9km
共橙一站式超市（赣州迎宾大道店）-5.8km</t>
  </si>
  <si>
    <t>共橙一站式超市 (南昌招贤大道店)-16km
共橙一站式超市（进贤昌盛路店）-87km
惠宜选超市（弋阳县梅山路店）-134km
共橙一站式超市（横峰兴安大道店）-19km
惠宜选 - 上饶广丰店-68km
共橙一站式超市（玉山三清大道店）-34km</t>
  </si>
  <si>
    <t>共橙一站式超市（南昌东祥路店）-32km
共橙一站式超市（金溪县秀谷西大道店）-140km
共橙一站式超市（南城登高路店）-47km
共橙一站式超市（黎川杏林路店）-60km
共橙一站式超市（南丰南广路店）-59km
共橙一站式超市（广昌站前路店）-50km</t>
  </si>
  <si>
    <t>共橙一站式超市（南昌锦江路店）-28km
共橙一站式超市（共青城南湖大道店）-69km
惠宜选超市（共青城育才路店）-1km
共橙一站式超市（德安宝塔大道店）-11km
共橙一站式超市（庐山玉帝路店）-37km
共橙一站式超市（庐山星光大道店）-1.5km
厉臣 - 九江市都昌东风大道店-49km</t>
  </si>
  <si>
    <t>共橙一站式超市（南昌云飞路店）-36km
共橙一站式超市（南昌国威路店）-16km
共橙一站式超市（抚州金巢大道店）-106km
共橙一站式超市（抚州迎宾大道店）-3.5km
共橙一站式超市（抚州玉茗路店）-6.4km
共橙一站式超市（崇仁站前路店）-34km
共橙一站式超市（宜黄县凤凰路店）-40km
共橙一站式超市（抚州乐安大道店）-58km</t>
  </si>
  <si>
    <t>共橙一站式超市（南昌经开区庐山南大道店)-26km
共橙一站式超市 (安义学府大道店)-45km
共橙一站式超市（奉新县迎宾大道店）-31km
共橙一站式超市（靖安清华大道店）-21km
共橙一站式超市（武宁月山路店）-94km
惠宜选 - 九江市修水店-81km
共橙一站式超市（修水县龙井路店）-6.3km</t>
  </si>
  <si>
    <t>共橙一站式超市（南丰南广路店）-220km
共橙一站式超市（广昌站前路店）-50km
共橙一站式超市（宁都博生西路店）-59km
惠宜选超市（瑞金金二路店）-79km</t>
  </si>
  <si>
    <t>黄张前</t>
  </si>
  <si>
    <t>共橙一站式超市（南昌长富大道店）-19km
共橙一站式超市（南昌东祥路店）-42km
共橙一站式超市（南昌小洲路店）-5.2km
共橙一站式超市（兴国县兴国大道店）-300km
共橙一站式超市（兴国县将军大道店）-2.1km
共橙一站式超市（于都杨公路店）-86km
厉臣省钱超市（于都金山大道店）-10km
共橙一站式超市（赣县梅林大街店）-49km</t>
  </si>
  <si>
    <t>共橙一站式超市（新干县金川大道店）-123km
共橙一站式超市（永丰欧阳修大道店）-61km
共橙一站式超市（吉水万里大道店）-39km
共橙一站式超市（吉安县赣江大道店）-33km
共橙一站式超市（泰和澄江大道店）-29km
共橙一站式超市（永新湘赣大道店）-89km
共橙一站式超市（井冈山步云山路店）-45km
共橙一站式超市（万安建设路店）-126km
共橙一站式超市（遂川川江南路店）-40km</t>
  </si>
  <si>
    <t>供橙超市-优选果业（向塘店）-43km</t>
  </si>
  <si>
    <t>共橙一站式超市（樟树药都路店）-85km
共橙一站式超市（樟树金都路店）-1.3km
共橙一站式超市（新余中山路店）-74km
共橙一站式超市（新余抱石大道店）-4.6km
共橙一站式超市（新余市青年路店）-5.4km
共橙一站式超市（分宜县天工南大道店）-29km</t>
  </si>
  <si>
    <t>共橙一站式超市（奉新县迎宾大道店）-45km
共橙一站式超市（靖安清华大道店）-21km
共橙一站式超市（武宁月山路店）-97km
惠宜选 - 九江市修水店-81km
共橙一站式超市（修水县龙井路店）-6.3km</t>
  </si>
  <si>
    <t>共橙一站式超市（抚州金巢大道店）-117km
共橙一站式超市（抚州学成路店）-8.1km
共橙一站式超市（崇仁站前路店）-37km
共橙一站式超市（宜黄县凤凰路店）-41km
共橙一站式超市（抚州乐安大道店）-58km
厉臣省钱超市（泰和钦顺路店）-146km</t>
  </si>
  <si>
    <t>惠宜选超市（弋阳县梅山路店）-222km
共橙一站式超市（横峰兴安大道店）-19km
惠宜选 - 上饶吾悦广场店-35km
惠宜选 - 上饶广丰店-31km
共橙一站式超市（玉山三清大道店）-34km</t>
  </si>
  <si>
    <t>共橙一站式超市（进贤昌盛路店）-79km
共橙一站式超市（余干县竹山路店）-86km
共橙一站式超市（万年建德大街店）-45km</t>
  </si>
  <si>
    <t>共橙一站式超市（兴国县将军大道店）-319km
共橙一站式超市（赣县梅林大街店）-67km
共橙一站式超市（赣州五洲大道店）-10km
惠宜选超市（赣州章江北大道店）-7.7km
共橙一站式超市（赣江东江源大道店）-2.9km</t>
  </si>
  <si>
    <t>惠宜选超市（石城迎宾大道店）-324km
共橙一站式超市（安远腾飞路店）-215km
共橙一站式超市（定南龙亭路店）-67km
共橙一站式超市（龙南嘉吉路店）-34km
共橙一站式超市（全南滨江路店）-39km</t>
  </si>
  <si>
    <t>共橙一站式超市（高安瑞阳大道店）-41km
惠宜选超市（高安沿江中路店）-3km
共橙一站式超市（万载县康乐大道店）-112km
共橙一站式超市（万载县将军西大道店）-2.3km
共橙一站式超市（上栗李畋北大道店）-83km
共橙一站式超市（萍乡砚田路店）-37km
厉臣省钱超市（莲花县康达西路店）-80km</t>
  </si>
  <si>
    <t>共橙一站式超市（丰城紫云南大道店）-60km
共橙一站式超市（樟树药都路店）-28km
共橙一站式超市（樟树金都路店）-1.3km
共橙一站式超市（新余抱石大道店）-74km
共橙一站式超市（新余市青年路店）-5km</t>
  </si>
  <si>
    <t>共橙一站式超市 (永修建昌大道店)-59km
惠宜选超市（共青城育才路店）-35km
共橙一站式超市（共青城南湖大道店）-1.3km
厉臣 - 九江市都昌东风大道店-75km
共橙一站式超市（庐山玉帘路店）-75km
共橙一站式超市（九江庐山西路店）-43km
共橙一站式超市 (瑞昌赤乌大道店)-36km
共橙一站式超市（瑞昌人民北路店）-2.1km</t>
  </si>
  <si>
    <t>共橙一站式超市（南城登高路店）-194km
共橙一站式超市（南丰南广路店）-44km
共橙一站式超市（广昌站前路店）-50km
共橙一站式超市（宁都县登峰大道店）-59km
共橙一站式超市（瑞金龙珠路店）-75km
共橙一站式超市（会昌兴会路店）-43km
共橙一站式超市（安远腾飞路店）-103km
共橙一站式超市（定南龙亭路店）-67km
共橙一站式超市（龙南嘉吉路店）-34km</t>
  </si>
  <si>
    <t>共橙一站式超市 (南昌招贤大道店)-16km
共橙一站式超市（南昌东祥路店）-41km
共橙一站式超市（进贤昌盛路店）-63km
共橙一站式超市（金溪县秀谷西大道店）-87km
共橙一站式超市（黎川杏林路店）-101km</t>
  </si>
  <si>
    <t>共橙一站式超市（南昌解放西路店）-56km
共橙一站式超市（南昌京东大道店）-9.8km
共橙一站式超市（余干县世纪大道店）-89km
共橙一站式超市（万年建德大街店）-42km
共橙一站式超市（乐平福泰路店）-41km
共橙一站式超市（德兴滨河大道店）-72km</t>
  </si>
  <si>
    <t>共橙一站式超市（南昌明月山大道店）-9.8km
共橙一站式超市（高安瑞阳大道店）-47km
共橙一站式超市（宜丰县永康路店）-71km
共橙一站式超市（宜丰县新昌中路店）-1.9km
共橙一站式超市（铜鼓定江西路店）-67km
共橙一站式超市（修水县龙井路店）-79km
惠宜选-九江市修水店-4.4km</t>
  </si>
  <si>
    <t>共橙一站式超市（共青城南湖大道店）-90km
共橙一站式超市（九江花溪路店）-63km
共橙一站式超市（九江泰山路店）-11km
共橙一站式超市（九江浔阳东路店）-12km
共橙一站式超市（湖口渊明路店）-28km
历臣便利（彭泽县龙兴路店）-34km</t>
  </si>
  <si>
    <t>共橙一站式超市（丰城府佑东路店）-61km
共橙一站式超市（樟树药都路店）-29km
共橙一站式超市（樟树金都路店）-1.3km
共橙一站式超市（新余中山路店）-74km
共橙一站式超市（新余抱石大道店）-4.6km
共橙一站式超市（新余市青年路店）-5km
共橙一站式超市（分宜县天工南大道店）-29km</t>
  </si>
  <si>
    <t>共橙一站式超市（南昌长富大道店）-20km
共橙一站式超市（新干县金川大道店）-132km
共橙一站式超市（永丰欧阳修大道店）-61km
共橙一站式超市（兴国县兴国大道店）-146km
共橙一站式超市（兴国县将军大道店）-3.4km
共橙一站式超市（于都杨公路店）-86km
历臣省钱超市（于都金山大道店）-10km
共橙一站式超市（赣县梅林大街店）-49km
共橙一站式超市（赣州五洲大道店）-11km</t>
  </si>
  <si>
    <t>共橙一站式超市（进贤昌盛路店）-76km
惠宜选超市（弋阳县梅山路店）-134km
共橙一站式超市（横峰兴安大道店）-19km
共橙一站式超市（铅山狮江大道店）-24km
惠宜选-上饶广丰店-63km
共橙一站式超市（玉山三清大道店）-34km</t>
  </si>
  <si>
    <t>共橙一站式超市（樟树药都路店）-85km
共橙一站式超市（樟树金都路店）-1.3km
共橙一站式超市（新余中山路店）-74km
共橙一站式超市（新余抱石大道店）-4.6km
共橙一站式超市（新余市青年路店）-5km
共橙一站式超市（分宜县天工南大道店）-29km</t>
  </si>
  <si>
    <t>共橙一站式超市（南昌锦江路店）-28km
共橙一站式超市（九江花溪路店）-131km
共橙一站式超市（九江泰山路店）-11km
共橙一站式超市（九江浔阳东路店）-12km
共橙一站式超市（湖口渊明路店）-28km</t>
  </si>
  <si>
    <t>共橙一站式超市（南昌长富大道店）-19km
共橙一站式超市（南昌经开区庐山南大道店）-11km
共橙一站式超市（永修建昌大道店）-40km
惠宜选超市（共青城育才路店）-35km</t>
  </si>
  <si>
    <t>共橙一站式超市（南昌京东大道店）-56km
共橙一站式超市（九江庐山西路店）-148km
惠宜选-九江市柴桑店 -1.9km
共橙一站式超市（九江八里湖大道店）-18km
共橙一站式超市（瑞昌赤乌大道店）-33km
共橙一站式超市（瑞昌人民北路店）-2.1km</t>
  </si>
  <si>
    <t>共橙一站式超市(南昌东祥路店)-32km
惠宜选超市（弋阳县梅山路店）-192km
共橙一站式超市（横峰兴安大道店）-19km
惠宜选-上饶吾悦广场店-35km
惠宜选-上饶广丰店-31km
共橙一站式超市（玉山三清大道店）-?km</t>
  </si>
  <si>
    <t>共橙一站式超市（鄱阳县五一北路店）-160km
共橙一站式超市（鄱阳锦宇大道店）-3.8km
共橙一站式超市（万年建德大街店）-67km
共橙一站式超市（德兴滨河大道店）-86km
惠宜选-江西上饶市婺源店-62km</t>
  </si>
  <si>
    <t>共橙一站式超市(宁都县登峰大道店)-291km
共橙一站式超市（于都杨公路店）-93km
共橙一站式超市(瑞金龙珠路店）-78km
共橙一站式超市（会昌兴会路店）-43km
共橙一站式超市(安远腾飞路店）-103km
共橙一站式超市（定南龙亭路店）-67km</t>
  </si>
  <si>
    <t>共橙一站式超市（南昌明月山大道店）-7.4km
共橙一站式超市（高安瑞阳大道店）-45km
厉臣-宜春市上高店-54km
共橙一站式超市（万载县康乐大道店）-56km</t>
  </si>
  <si>
    <t>共橙一站式超市（抚州金巢大道店）-117km
共橙一站式超市（抚州迎宾大道店）-3.3km
共橙一站式超市(抚州玉茗路店)-6.4km
共橙一站式超市（崇仁站前路店）-34km</t>
  </si>
  <si>
    <t>共橙一站式超市（九江庐山西路店）-132km
共橙一站式超市(九江花溪路店）-18km
共橙一站式超市（九江浔阳东路店）-10km
共橙一站式超市（湖口渊明路店）-28km
厉臣便利（彭泽县龙兴路店）-34km</t>
  </si>
  <si>
    <t>共橙一站式超市（德安宝塔大道店）-93km
惠宜选-九江市柴桑店-45km
共橙一站式超市(瑞昌赤乌大道店)-40km
共橙一站式超市（瑞昌人民北路店）-2.6km</t>
  </si>
  <si>
    <t>共橙一站式超市(南昌长富大道店)-19km
共橙一站式超市（南昌经开区庐山南大道店）-8.2km
共橙一站式超市（庐山玉帘路店）-116km
共橙一站式超市（庐山星光大道店）-1.5km
厉臣-九江市都昌东风大道店-49km</t>
  </si>
  <si>
    <t>共橙一站式超市(于都杨公路店)-357km
共橙一站式超市(赣州五洲大道店)-61km</t>
  </si>
  <si>
    <t>共橙一站式超市 (南昌招贤大道店)-16km
惠宜选超市（弋阳县梅山路店）-222km
共橙一站式超市 (横峰兴安大道店)-19km
惠宜选-上饶广丰店-65km
共橙一站式超市 (玉山三清大道店)-33km</t>
  </si>
  <si>
    <t>共橙一站式超市(进贤昌盛路店)-79km
共橙一站式超市(宁都县登峰大道店）-251km
共橙一站式超市(瑞金龙珠路店)-75km
共橙一站式超市（会昌兴会路店）-43km
共橙一站式超市 (安远腾飞路店)-103km</t>
  </si>
  <si>
    <t>共橙一站式超市 (金溪县秀谷西大道店)-155km
共橙一站式超市 (宜黄县凤凰路店)-92km
共橙一站式超市 (南城登高路店)-74km
共橙一站式超市(黎川杏林路店)-57km
共橙一站式超市 (南丰南广路店)-56km
共橙一站式超市（广昌站前路店）-50km</t>
  </si>
  <si>
    <t>共橙一站式超市(南昌解放西路店)-56km
共橙一站式超市 (抚州乐安大道店)-157km
共橙一站式超市 (永丰欧阳修大道店)-50km
共橙一站式超市(吉安田侯路店)-60km</t>
  </si>
  <si>
    <t>共橙一站式超市 (兴国县将军大道店)-319km</t>
  </si>
  <si>
    <t>共橙一站式超市 (鄱阳县五一北路店)-160km
共橙一站式超市(景德镇紫晶路店)-83km
共橙一站式超市 (景德镇翠云路店)-10km
共橙一站式超市(浮梁县新昌北路店）-13km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</si>
</sst>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58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"/>
  <sheetViews>
    <sheetView tabSelected="1" zoomScale="110" zoomScaleNormal="110" workbookViewId="0">
      <pane ySplit="1" topLeftCell="A83" activePane="bottomLeft" state="frozen"/>
      <selection/>
      <selection pane="bottomLeft" activeCell="C85" sqref="C85"/>
    </sheetView>
  </sheetViews>
  <sheetFormatPr defaultColWidth="15.6296296296296" defaultRowHeight="15.6"/>
  <cols>
    <col min="1" max="1" width="11.3796296296296" style="6" customWidth="1"/>
    <col min="2" max="2" width="11.1296296296296" style="6" customWidth="1"/>
    <col min="3" max="3" width="56.6574074074074" style="21" customWidth="1"/>
    <col min="4" max="4" width="15.8796296296296" style="6" customWidth="1"/>
    <col min="5" max="6" width="15.6296296296296" style="5" customWidth="1"/>
    <col min="7" max="7" width="14.25" style="5" customWidth="1"/>
    <col min="8" max="8" width="12.25" style="5" customWidth="1"/>
    <col min="9" max="9" width="11.5092592592593" style="5" customWidth="1"/>
    <col min="10" max="10" width="15.6296296296296" style="5" customWidth="1"/>
    <col min="11" max="16383" width="15.6296296296296" style="6" customWidth="1"/>
    <col min="16384" max="16384" width="15.6296296296296" style="6"/>
  </cols>
  <sheetData>
    <row r="1" ht="30" customHeight="1" spans="1:16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8</v>
      </c>
      <c r="K1" s="7" t="s">
        <v>9</v>
      </c>
      <c r="L1" s="7" t="s">
        <v>10</v>
      </c>
      <c r="M1" s="7" t="s">
        <v>11</v>
      </c>
    </row>
    <row r="2" s="6" customFormat="1" ht="124.8" spans="1:16">
      <c r="A2" s="7">
        <v>1</v>
      </c>
      <c r="B2" s="22">
        <v>45992</v>
      </c>
      <c r="C2" s="8" t="s">
        <v>12</v>
      </c>
      <c r="D2" s="7" cm="1">
        <f t="array" ref="D2">SUM(VALUE(SUBSTITUTE(_xlfn.TEXTAFTER(_xlfn.TEXTSPLIT(C2,CHAR(10)),"-",-1),"km","")))</f>
        <v>278.3</v>
      </c>
      <c r="E2" s="9">
        <f t="shared" ref="E2:E19" si="0">F2/1.09</f>
        <v>3.94495412844037</v>
      </c>
      <c r="F2" s="9">
        <f t="shared" ref="F2:F17" si="1">IF(D2&gt;=301,4.1,IF(D2&gt;=201,4.3,IF(D2&gt;=101,4.5,"")))</f>
        <v>4.3</v>
      </c>
      <c r="G2" s="9">
        <f t="shared" ref="G2:G19" si="2">D2*E2</f>
        <v>1097.88073394495</v>
      </c>
      <c r="H2" s="9">
        <f t="shared" ref="H2:H19" si="3">D2*F2</f>
        <v>1196.69</v>
      </c>
      <c r="I2" s="9">
        <f t="shared" ref="I2:I17" si="4">IF(D2&gt;=301,3.2,IF(D2&gt;=201,3.5,IF(D2&gt;=101,3.5,"")))</f>
        <v>3.5</v>
      </c>
      <c r="J2" s="9">
        <f t="shared" ref="J2:J19" si="5">D2*I2</f>
        <v>974.05</v>
      </c>
      <c r="K2" s="7" t="s">
        <v>13</v>
      </c>
      <c r="L2" s="7"/>
      <c r="M2" s="7"/>
    </row>
    <row r="3" s="6" customFormat="1" ht="109.2" spans="1:16">
      <c r="A3" s="7">
        <v>2</v>
      </c>
      <c r="B3" s="22">
        <v>45992</v>
      </c>
      <c r="C3" s="8" t="s">
        <v>14</v>
      </c>
      <c r="D3" s="7" cm="1">
        <f t="array" ref="D3">SUM(VALUE(SUBSTITUTE(_xlfn.TEXTAFTER(_xlfn.TEXTSPLIT(C3,CHAR(10)),"-",-1),"km","")))</f>
        <v>422</v>
      </c>
      <c r="E3" s="9">
        <f t="shared" si="0"/>
        <v>3.76146788990826</v>
      </c>
      <c r="F3" s="9">
        <f t="shared" si="1"/>
        <v>4.1</v>
      </c>
      <c r="G3" s="9">
        <f t="shared" si="2"/>
        <v>1587.33944954128</v>
      </c>
      <c r="H3" s="9">
        <f t="shared" si="3"/>
        <v>1730.2</v>
      </c>
      <c r="I3" s="9">
        <f t="shared" si="4"/>
        <v>3.2</v>
      </c>
      <c r="J3" s="9">
        <f t="shared" si="5"/>
        <v>1350.4</v>
      </c>
      <c r="K3" s="7" t="s">
        <v>15</v>
      </c>
      <c r="L3" s="7"/>
      <c r="M3" s="7"/>
      <c r="N3" s="6"/>
      <c r="O3" s="6"/>
      <c r="P3" s="18"/>
    </row>
    <row r="4" s="18" customFormat="1" ht="124.8" spans="1:16">
      <c r="A4" s="7">
        <v>3</v>
      </c>
      <c r="B4" s="22">
        <v>45993</v>
      </c>
      <c r="C4" s="8" t="s">
        <v>16</v>
      </c>
      <c r="D4" s="7" cm="1">
        <f t="array" ref="D4">SUM(VALUE(SUBSTITUTE(_xlfn.TEXTAFTER(_xlfn.TEXTSPLIT(C4,CHAR(10)),"-",-1),"km","")))</f>
        <v>434.4</v>
      </c>
      <c r="E4" s="9">
        <f t="shared" si="0"/>
        <v>3.76146788990826</v>
      </c>
      <c r="F4" s="9">
        <f t="shared" si="1"/>
        <v>4.1</v>
      </c>
      <c r="G4" s="9">
        <f t="shared" si="2"/>
        <v>1633.98165137615</v>
      </c>
      <c r="H4" s="9">
        <f t="shared" si="3"/>
        <v>1781.04</v>
      </c>
      <c r="I4" s="9">
        <f t="shared" si="4"/>
        <v>3.2</v>
      </c>
      <c r="J4" s="9">
        <f t="shared" si="5"/>
        <v>1390.08</v>
      </c>
      <c r="K4" s="7" t="s">
        <v>15</v>
      </c>
      <c r="L4" s="7"/>
      <c r="M4" s="7"/>
      <c r="N4" s="18"/>
      <c r="O4" s="6"/>
    </row>
    <row r="5" s="18" customFormat="1" ht="109.2" spans="1:16">
      <c r="A5" s="7">
        <v>4</v>
      </c>
      <c r="B5" s="22">
        <v>45993</v>
      </c>
      <c r="C5" s="23" t="s">
        <v>17</v>
      </c>
      <c r="D5" s="7" cm="1">
        <f t="array" ref="D5">SUM(VALUE(SUBSTITUTE(_xlfn.TEXTAFTER(_xlfn.TEXTSPLIT(C5,CHAR(10)),"-",-1),"km","")))</f>
        <v>653</v>
      </c>
      <c r="E5" s="9">
        <f t="shared" si="0"/>
        <v>3.76146788990826</v>
      </c>
      <c r="F5" s="9">
        <f t="shared" si="1"/>
        <v>4.1</v>
      </c>
      <c r="G5" s="9">
        <f t="shared" si="2"/>
        <v>2456.23853211009</v>
      </c>
      <c r="H5" s="9">
        <f t="shared" si="3"/>
        <v>2677.3</v>
      </c>
      <c r="I5" s="9">
        <f t="shared" si="4"/>
        <v>3.2</v>
      </c>
      <c r="J5" s="9">
        <f t="shared" si="5"/>
        <v>2089.6</v>
      </c>
      <c r="K5" s="24" t="s">
        <v>18</v>
      </c>
      <c r="L5" s="24"/>
      <c r="M5" s="24"/>
      <c r="N5" s="18"/>
      <c r="O5" s="6"/>
    </row>
    <row r="6" s="18" customFormat="1" ht="93.6" spans="1:16">
      <c r="A6" s="7">
        <v>5</v>
      </c>
      <c r="B6" s="22">
        <v>45993</v>
      </c>
      <c r="C6" s="23" t="s">
        <v>19</v>
      </c>
      <c r="D6" s="24" cm="1">
        <f t="array" ref="D6">SUM(VALUE(SUBSTITUTE(_xlfn.TEXTAFTER(_xlfn.TEXTSPLIT(C6,CHAR(10)),"-",-1),"km","")))</f>
        <v>491.1</v>
      </c>
      <c r="E6" s="25">
        <f t="shared" si="0"/>
        <v>3.76146788990826</v>
      </c>
      <c r="F6" s="9">
        <f t="shared" si="1"/>
        <v>4.1</v>
      </c>
      <c r="G6" s="25">
        <f t="shared" si="2"/>
        <v>1847.25688073394</v>
      </c>
      <c r="H6" s="25">
        <f t="shared" si="3"/>
        <v>2013.51</v>
      </c>
      <c r="I6" s="9">
        <f t="shared" si="4"/>
        <v>3.2</v>
      </c>
      <c r="J6" s="25">
        <f t="shared" si="5"/>
        <v>1571.52</v>
      </c>
      <c r="K6" s="24" t="s">
        <v>20</v>
      </c>
      <c r="L6" s="24"/>
      <c r="M6" s="24"/>
      <c r="N6" s="18"/>
      <c r="O6" s="6"/>
    </row>
    <row r="7" s="18" customFormat="1" ht="109.2" spans="1:16">
      <c r="A7" s="7">
        <v>6</v>
      </c>
      <c r="B7" s="26">
        <v>45994</v>
      </c>
      <c r="C7" s="8" t="s">
        <v>21</v>
      </c>
      <c r="D7" s="7" cm="1">
        <f t="array" ref="D7">SUM(VALUE(SUBSTITUTE(_xlfn.TEXTAFTER(_xlfn.TEXTSPLIT(C7,CHAR(10)),"-",-1),"km","")))</f>
        <v>303.9</v>
      </c>
      <c r="E7" s="9">
        <f t="shared" si="0"/>
        <v>3.76146788990826</v>
      </c>
      <c r="F7" s="9">
        <f t="shared" si="1"/>
        <v>4.1</v>
      </c>
      <c r="G7" s="9">
        <f t="shared" si="2"/>
        <v>1143.11009174312</v>
      </c>
      <c r="H7" s="9">
        <f t="shared" si="3"/>
        <v>1245.99</v>
      </c>
      <c r="I7" s="9">
        <f t="shared" si="4"/>
        <v>3.2</v>
      </c>
      <c r="J7" s="9">
        <f t="shared" si="5"/>
        <v>972.48</v>
      </c>
      <c r="K7" s="7" t="s">
        <v>22</v>
      </c>
      <c r="L7" s="7"/>
      <c r="M7" s="7"/>
      <c r="N7" s="18"/>
      <c r="O7" s="6"/>
    </row>
    <row r="8" s="18" customFormat="1" ht="140.4" spans="1:16">
      <c r="A8" s="7">
        <v>7</v>
      </c>
      <c r="B8" s="26">
        <v>45994</v>
      </c>
      <c r="C8" s="8" t="s">
        <v>23</v>
      </c>
      <c r="D8" s="7" cm="1">
        <f t="array" ref="D8">SUM(VALUE(SUBSTITUTE(_xlfn.TEXTAFTER(_xlfn.TEXTSPLIT(C8,CHAR(10)),"-",-1),"km","")))</f>
        <v>393</v>
      </c>
      <c r="E8" s="9">
        <f t="shared" si="0"/>
        <v>3.76146788990826</v>
      </c>
      <c r="F8" s="9">
        <f t="shared" si="1"/>
        <v>4.1</v>
      </c>
      <c r="G8" s="9">
        <f t="shared" si="2"/>
        <v>1478.25688073394</v>
      </c>
      <c r="H8" s="9">
        <f t="shared" si="3"/>
        <v>1611.3</v>
      </c>
      <c r="I8" s="9">
        <f t="shared" si="4"/>
        <v>3.2</v>
      </c>
      <c r="J8" s="9">
        <f t="shared" si="5"/>
        <v>1257.6</v>
      </c>
      <c r="K8" s="7" t="s">
        <v>18</v>
      </c>
      <c r="L8" s="7"/>
      <c r="M8" s="7"/>
      <c r="N8" s="18"/>
      <c r="O8" s="6"/>
    </row>
    <row r="9" s="18" customFormat="1" ht="93.6" spans="1:16">
      <c r="A9" s="7">
        <v>8</v>
      </c>
      <c r="B9" s="26">
        <v>45994</v>
      </c>
      <c r="C9" s="8" t="s">
        <v>24</v>
      </c>
      <c r="D9" s="7" cm="1">
        <f t="array" ref="D9">SUM(VALUE(SUBSTITUTE(_xlfn.TEXTAFTER(_xlfn.TEXTSPLIT(C9,CHAR(10)),"-",-1),"km","")))</f>
        <v>168.4</v>
      </c>
      <c r="E9" s="9">
        <f t="shared" si="0"/>
        <v>4.12844036697248</v>
      </c>
      <c r="F9" s="9">
        <f t="shared" si="1"/>
        <v>4.5</v>
      </c>
      <c r="G9" s="9">
        <f t="shared" si="2"/>
        <v>695.229357798165</v>
      </c>
      <c r="H9" s="9">
        <f t="shared" si="3"/>
        <v>757.8</v>
      </c>
      <c r="I9" s="9">
        <f t="shared" si="4"/>
        <v>3.5</v>
      </c>
      <c r="J9" s="9">
        <f t="shared" si="5"/>
        <v>589.4</v>
      </c>
      <c r="K9" s="7" t="s">
        <v>22</v>
      </c>
      <c r="L9" s="7"/>
      <c r="M9" s="7"/>
      <c r="N9" s="18"/>
      <c r="O9" s="6"/>
    </row>
    <row r="10" s="18" customFormat="1" ht="109.2" spans="1:16">
      <c r="A10" s="7">
        <v>9</v>
      </c>
      <c r="B10" s="26">
        <v>45995</v>
      </c>
      <c r="C10" s="8" t="s">
        <v>25</v>
      </c>
      <c r="D10" s="7" cm="1">
        <f t="array" ref="D10">SUM(VALUE(SUBSTITUTE(_xlfn.TEXTAFTER(_xlfn.TEXTSPLIT(C10,CHAR(10)),"-",-1),"km","")))</f>
        <v>608.3</v>
      </c>
      <c r="E10" s="9">
        <f t="shared" si="0"/>
        <v>3.76146788990826</v>
      </c>
      <c r="F10" s="9">
        <f t="shared" si="1"/>
        <v>4.1</v>
      </c>
      <c r="G10" s="9">
        <f t="shared" si="2"/>
        <v>2288.10091743119</v>
      </c>
      <c r="H10" s="9">
        <f t="shared" si="3"/>
        <v>2494.03</v>
      </c>
      <c r="I10" s="9">
        <f t="shared" si="4"/>
        <v>3.2</v>
      </c>
      <c r="J10" s="9">
        <f t="shared" si="5"/>
        <v>1946.56</v>
      </c>
      <c r="K10" s="7" t="s">
        <v>26</v>
      </c>
      <c r="L10" s="7"/>
      <c r="M10" s="7"/>
      <c r="N10" s="18"/>
      <c r="O10" s="6"/>
    </row>
    <row r="11" s="18" customFormat="1" ht="140.4" spans="1:16">
      <c r="A11" s="7">
        <v>10</v>
      </c>
      <c r="B11" s="26">
        <v>45995</v>
      </c>
      <c r="C11" s="8" t="s">
        <v>27</v>
      </c>
      <c r="D11" s="7" cm="1">
        <f t="array" ref="D11">SUM(VALUE(SUBSTITUTE(_xlfn.TEXTAFTER(_xlfn.TEXTSPLIT(C11,CHAR(10)),"-",-1),"km","")))</f>
        <v>700</v>
      </c>
      <c r="E11" s="9">
        <f t="shared" si="0"/>
        <v>3.76146788990826</v>
      </c>
      <c r="F11" s="9">
        <f t="shared" si="1"/>
        <v>4.1</v>
      </c>
      <c r="G11" s="9">
        <f t="shared" si="2"/>
        <v>2633.02752293578</v>
      </c>
      <c r="H11" s="9">
        <f t="shared" si="3"/>
        <v>2870</v>
      </c>
      <c r="I11" s="9">
        <f t="shared" si="4"/>
        <v>3.2</v>
      </c>
      <c r="J11" s="9">
        <f t="shared" si="5"/>
        <v>2240</v>
      </c>
      <c r="K11" s="7" t="s">
        <v>28</v>
      </c>
      <c r="L11" s="7"/>
      <c r="M11" s="7"/>
      <c r="N11" s="18"/>
      <c r="O11" s="6"/>
    </row>
    <row r="12" s="18" customFormat="1" ht="93.6" spans="1:16">
      <c r="A12" s="7">
        <v>11</v>
      </c>
      <c r="B12" s="26">
        <v>45996</v>
      </c>
      <c r="C12" s="8" t="s">
        <v>29</v>
      </c>
      <c r="D12" s="7" cm="1">
        <f t="array" ref="D12">SUM(VALUE(SUBSTITUTE(_xlfn.TEXTAFTER(_xlfn.TEXTSPLIT(C12,CHAR(10)),"-",-1),"km","")))</f>
        <v>221</v>
      </c>
      <c r="E12" s="9">
        <f t="shared" si="0"/>
        <v>3.94495412844037</v>
      </c>
      <c r="F12" s="9">
        <f t="shared" si="1"/>
        <v>4.3</v>
      </c>
      <c r="G12" s="9">
        <f t="shared" si="2"/>
        <v>871.834862385321</v>
      </c>
      <c r="H12" s="9">
        <f t="shared" si="3"/>
        <v>950.3</v>
      </c>
      <c r="I12" s="9">
        <f t="shared" si="4"/>
        <v>3.5</v>
      </c>
      <c r="J12" s="9">
        <f t="shared" si="5"/>
        <v>773.5</v>
      </c>
      <c r="K12" s="7" t="s">
        <v>22</v>
      </c>
      <c r="L12" s="7"/>
      <c r="M12" s="7"/>
      <c r="N12" s="18"/>
      <c r="O12" s="6">
        <f>937/1000</f>
        <v>0.937</v>
      </c>
    </row>
    <row r="13" s="18" customFormat="1" ht="109.2" spans="1:16">
      <c r="A13" s="7">
        <v>12</v>
      </c>
      <c r="B13" s="26">
        <v>45996</v>
      </c>
      <c r="C13" s="8" t="s">
        <v>30</v>
      </c>
      <c r="D13" s="7" cm="1">
        <f t="array" ref="D13">SUM(VALUE(SUBSTITUTE(_xlfn.TEXTAFTER(_xlfn.TEXTSPLIT(C13,CHAR(10)),"-",-1),"km","")))</f>
        <v>186.5</v>
      </c>
      <c r="E13" s="9">
        <f t="shared" si="0"/>
        <v>4.12844036697248</v>
      </c>
      <c r="F13" s="9">
        <f t="shared" si="1"/>
        <v>4.5</v>
      </c>
      <c r="G13" s="9">
        <f t="shared" si="2"/>
        <v>769.954128440367</v>
      </c>
      <c r="H13" s="9">
        <f t="shared" si="3"/>
        <v>839.25</v>
      </c>
      <c r="I13" s="9">
        <f t="shared" si="4"/>
        <v>3.5</v>
      </c>
      <c r="J13" s="9">
        <f t="shared" si="5"/>
        <v>652.75</v>
      </c>
      <c r="K13" s="7" t="s">
        <v>15</v>
      </c>
      <c r="L13" s="7"/>
      <c r="M13" s="7"/>
      <c r="N13" s="18"/>
      <c r="O13" s="6"/>
    </row>
    <row r="14" s="18" customFormat="1" ht="124.8" spans="1:16">
      <c r="A14" s="7">
        <v>13</v>
      </c>
      <c r="B14" s="26">
        <v>45996</v>
      </c>
      <c r="C14" s="8" t="s">
        <v>31</v>
      </c>
      <c r="D14" s="7" cm="1">
        <f t="array" ref="D14">SUM(VALUE(SUBSTITUTE(_xlfn.TEXTAFTER(_xlfn.TEXTSPLIT(C14,CHAR(10)),"-",-1),"km","")))</f>
        <v>296.6</v>
      </c>
      <c r="E14" s="9">
        <f t="shared" si="0"/>
        <v>3.94495412844037</v>
      </c>
      <c r="F14" s="9">
        <f t="shared" si="1"/>
        <v>4.3</v>
      </c>
      <c r="G14" s="9">
        <f t="shared" si="2"/>
        <v>1170.07339449541</v>
      </c>
      <c r="H14" s="9">
        <f t="shared" si="3"/>
        <v>1275.38</v>
      </c>
      <c r="I14" s="9">
        <f t="shared" si="4"/>
        <v>3.5</v>
      </c>
      <c r="J14" s="9">
        <f t="shared" si="5"/>
        <v>1038.1</v>
      </c>
      <c r="K14" s="7" t="s">
        <v>18</v>
      </c>
      <c r="L14" s="7"/>
      <c r="M14" s="7"/>
      <c r="N14" s="18"/>
      <c r="O14" s="6"/>
    </row>
    <row r="15" s="18" customFormat="1" ht="124.8" spans="1:16">
      <c r="A15" s="7">
        <v>14</v>
      </c>
      <c r="B15" s="26">
        <v>45997</v>
      </c>
      <c r="C15" s="8" t="s">
        <v>32</v>
      </c>
      <c r="D15" s="7" cm="1">
        <f t="array" ref="D15">SUM(VALUE(SUBSTITUTE(_xlfn.TEXTAFTER(_xlfn.TEXTSPLIT(C15,CHAR(10)),"-",-1),"km","")))</f>
        <v>624.6</v>
      </c>
      <c r="E15" s="9">
        <f t="shared" si="0"/>
        <v>3.76146788990826</v>
      </c>
      <c r="F15" s="9">
        <f t="shared" si="1"/>
        <v>4.1</v>
      </c>
      <c r="G15" s="9">
        <f t="shared" si="2"/>
        <v>2349.4128440367</v>
      </c>
      <c r="H15" s="9">
        <f t="shared" si="3"/>
        <v>2560.86</v>
      </c>
      <c r="I15" s="9">
        <f t="shared" si="4"/>
        <v>3.2</v>
      </c>
      <c r="J15" s="9">
        <f t="shared" si="5"/>
        <v>1998.72</v>
      </c>
      <c r="K15" s="7" t="s">
        <v>15</v>
      </c>
      <c r="L15" s="7"/>
      <c r="M15" s="7"/>
      <c r="N15" s="18"/>
      <c r="O15" s="6"/>
    </row>
    <row r="16" s="18" customFormat="1" ht="187.2" spans="1:16">
      <c r="A16" s="7">
        <v>15</v>
      </c>
      <c r="B16" s="26">
        <v>45997</v>
      </c>
      <c r="C16" s="8" t="s">
        <v>33</v>
      </c>
      <c r="D16" s="7" cm="1">
        <f t="array" ref="D16">SUM(VALUE(SUBSTITUTE(_xlfn.TEXTAFTER(_xlfn.TEXTSPLIT(C16,CHAR(10)),"-",-1),"km","")))</f>
        <v>433</v>
      </c>
      <c r="E16" s="9">
        <f t="shared" si="0"/>
        <v>3.76146788990826</v>
      </c>
      <c r="F16" s="9">
        <f t="shared" si="1"/>
        <v>4.1</v>
      </c>
      <c r="G16" s="9">
        <f t="shared" si="2"/>
        <v>1628.71559633027</v>
      </c>
      <c r="H16" s="9">
        <f t="shared" si="3"/>
        <v>1775.3</v>
      </c>
      <c r="I16" s="9">
        <f t="shared" si="4"/>
        <v>3.2</v>
      </c>
      <c r="J16" s="9">
        <f t="shared" si="5"/>
        <v>1385.6</v>
      </c>
      <c r="K16" s="7" t="s">
        <v>18</v>
      </c>
      <c r="L16" s="7"/>
      <c r="M16" s="7"/>
      <c r="N16" s="18"/>
      <c r="O16" s="6"/>
    </row>
    <row r="17" s="18" customFormat="1" ht="93.6" spans="1:15">
      <c r="A17" s="7">
        <v>16</v>
      </c>
      <c r="B17" s="26">
        <v>45997</v>
      </c>
      <c r="C17" s="8" t="s">
        <v>34</v>
      </c>
      <c r="D17" s="7" cm="1">
        <f t="array" ref="D17">SUM(VALUE(SUBSTITUTE(_xlfn.TEXTAFTER(_xlfn.TEXTSPLIT(C17,CHAR(10)),"-",-1),"km","")))</f>
        <v>246.4</v>
      </c>
      <c r="E17" s="9">
        <f t="shared" si="0"/>
        <v>3.94495412844037</v>
      </c>
      <c r="F17" s="9">
        <f t="shared" si="1"/>
        <v>4.3</v>
      </c>
      <c r="G17" s="9">
        <f t="shared" si="2"/>
        <v>972.036697247706</v>
      </c>
      <c r="H17" s="9">
        <f t="shared" si="3"/>
        <v>1059.52</v>
      </c>
      <c r="I17" s="9">
        <f t="shared" si="4"/>
        <v>3.5</v>
      </c>
      <c r="J17" s="9">
        <f t="shared" si="5"/>
        <v>862.4</v>
      </c>
      <c r="K17" s="7" t="s">
        <v>22</v>
      </c>
      <c r="L17" s="7"/>
      <c r="M17" s="7"/>
      <c r="N17" s="18"/>
      <c r="O17" s="6"/>
    </row>
    <row r="18" s="18" customFormat="1" ht="36" customHeight="1" spans="1:15">
      <c r="A18" s="7">
        <v>17</v>
      </c>
      <c r="B18" s="26">
        <v>45997</v>
      </c>
      <c r="C18" s="8" t="s">
        <v>35</v>
      </c>
      <c r="D18" s="7">
        <v>1</v>
      </c>
      <c r="E18" s="9">
        <f t="shared" si="0"/>
        <v>440.366972477064</v>
      </c>
      <c r="F18" s="9">
        <v>480</v>
      </c>
      <c r="G18" s="9">
        <f t="shared" si="2"/>
        <v>440.366972477064</v>
      </c>
      <c r="H18" s="9">
        <f t="shared" si="3"/>
        <v>480</v>
      </c>
      <c r="I18" s="9">
        <v>450</v>
      </c>
      <c r="J18" s="9">
        <f t="shared" si="5"/>
        <v>450</v>
      </c>
      <c r="K18" s="7" t="s">
        <v>36</v>
      </c>
      <c r="L18" s="7"/>
      <c r="M18" s="7"/>
      <c r="O18" s="6"/>
    </row>
    <row r="19" s="18" customFormat="1" ht="36" customHeight="1" spans="1:15">
      <c r="A19" s="7">
        <v>18</v>
      </c>
      <c r="B19" s="26">
        <v>45997</v>
      </c>
      <c r="C19" s="8" t="s">
        <v>35</v>
      </c>
      <c r="D19" s="7">
        <v>1</v>
      </c>
      <c r="E19" s="9">
        <f t="shared" si="0"/>
        <v>440.366972477064</v>
      </c>
      <c r="F19" s="9">
        <v>480</v>
      </c>
      <c r="G19" s="9">
        <f t="shared" si="2"/>
        <v>440.366972477064</v>
      </c>
      <c r="H19" s="9">
        <f t="shared" si="3"/>
        <v>480</v>
      </c>
      <c r="I19" s="9">
        <v>450</v>
      </c>
      <c r="J19" s="9">
        <f t="shared" si="5"/>
        <v>450</v>
      </c>
      <c r="K19" s="7" t="s">
        <v>36</v>
      </c>
      <c r="L19" s="7"/>
      <c r="M19" s="7"/>
      <c r="O19" s="6"/>
    </row>
    <row r="20" s="18" customFormat="1" ht="88" customHeight="1" spans="1:15">
      <c r="A20" s="7">
        <v>19</v>
      </c>
      <c r="B20" s="26">
        <v>45998</v>
      </c>
      <c r="C20" s="8" t="s">
        <v>37</v>
      </c>
      <c r="D20" s="7" cm="1">
        <f t="array" ref="D20">SUM(VALUE(SUBSTITUTE(_xlfn.TEXTAFTER(_xlfn.TEXTSPLIT(C20,CHAR(10)),"-",-1),"km","")))</f>
        <v>190.6</v>
      </c>
      <c r="E20" s="9">
        <f t="shared" ref="E20:E67" si="6">F20/1.09</f>
        <v>4.12844036697248</v>
      </c>
      <c r="F20" s="9">
        <f t="shared" ref="F20:F48" si="7">IF(D20&gt;=301,4.1,IF(D20&gt;=201,4.3,IF(D20&gt;=101,4.5,"")))</f>
        <v>4.5</v>
      </c>
      <c r="G20" s="9">
        <f t="shared" ref="G20:G67" si="8">D20*E20</f>
        <v>786.880733944954</v>
      </c>
      <c r="H20" s="9">
        <f t="shared" ref="H20:H67" si="9">D20*F20</f>
        <v>857.7</v>
      </c>
      <c r="I20" s="9">
        <f t="shared" ref="I20:I48" si="10">IF(D20&gt;=301,3.2,IF(D20&gt;=201,3.5,IF(D20&gt;=101,3.5,"")))</f>
        <v>3.5</v>
      </c>
      <c r="J20" s="9">
        <f t="shared" ref="J20:J67" si="11">D20*I20</f>
        <v>667.1</v>
      </c>
      <c r="K20" s="7" t="s">
        <v>13</v>
      </c>
      <c r="L20" s="7"/>
      <c r="M20" s="7"/>
      <c r="N20" s="18"/>
      <c r="O20" s="6"/>
    </row>
    <row r="21" s="18" customFormat="1" ht="124.8" spans="1:15">
      <c r="A21" s="7">
        <v>20</v>
      </c>
      <c r="B21" s="26">
        <v>45999</v>
      </c>
      <c r="C21" s="8" t="s">
        <v>38</v>
      </c>
      <c r="D21" s="7" cm="1">
        <f t="array" ref="D21">SUM(VALUE(SUBSTITUTE(_xlfn.TEXTAFTER(_xlfn.TEXTSPLIT(C21,CHAR(10)),"-",-1),"km","")))</f>
        <v>421</v>
      </c>
      <c r="E21" s="9">
        <f t="shared" si="6"/>
        <v>3.76146788990826</v>
      </c>
      <c r="F21" s="9">
        <f t="shared" si="7"/>
        <v>4.1</v>
      </c>
      <c r="G21" s="9">
        <f t="shared" si="8"/>
        <v>1583.57798165138</v>
      </c>
      <c r="H21" s="9">
        <f t="shared" si="9"/>
        <v>1726.1</v>
      </c>
      <c r="I21" s="9">
        <f t="shared" si="10"/>
        <v>3.2</v>
      </c>
      <c r="J21" s="9">
        <f t="shared" si="11"/>
        <v>1347.2</v>
      </c>
      <c r="K21" s="7" t="s">
        <v>13</v>
      </c>
      <c r="L21" s="7"/>
      <c r="M21" s="7"/>
      <c r="N21" s="18"/>
      <c r="O21" s="6"/>
    </row>
    <row r="22" s="18" customFormat="1" ht="140.4" spans="1:15">
      <c r="A22" s="7">
        <v>21</v>
      </c>
      <c r="B22" s="26">
        <v>45999</v>
      </c>
      <c r="C22" s="8" t="s">
        <v>39</v>
      </c>
      <c r="D22" s="7" cm="1">
        <f t="array" ref="D22">SUM(VALUE(SUBSTITUTE(_xlfn.TEXTAFTER(_xlfn.TEXTSPLIT(C22,CHAR(10)),"-",-1),"km","")))</f>
        <v>201.8</v>
      </c>
      <c r="E22" s="9">
        <f t="shared" si="6"/>
        <v>3.94495412844037</v>
      </c>
      <c r="F22" s="9">
        <f t="shared" si="7"/>
        <v>4.3</v>
      </c>
      <c r="G22" s="9">
        <f t="shared" si="8"/>
        <v>796.091743119266</v>
      </c>
      <c r="H22" s="9">
        <f t="shared" si="9"/>
        <v>867.74</v>
      </c>
      <c r="I22" s="9">
        <f t="shared" si="10"/>
        <v>3.5</v>
      </c>
      <c r="J22" s="9">
        <f t="shared" si="11"/>
        <v>706.3</v>
      </c>
      <c r="K22" s="7" t="s">
        <v>36</v>
      </c>
      <c r="L22" s="7"/>
      <c r="M22" s="7"/>
      <c r="N22" s="18"/>
      <c r="O22" s="6"/>
    </row>
    <row r="23" s="18" customFormat="1" ht="93.6" spans="1:15">
      <c r="A23" s="7">
        <v>22</v>
      </c>
      <c r="B23" s="26">
        <v>45999</v>
      </c>
      <c r="C23" s="8" t="s">
        <v>40</v>
      </c>
      <c r="D23" s="7" cm="1">
        <f t="array" ref="D23">SUM(VALUE(SUBSTITUTE(_xlfn.TEXTAFTER(_xlfn.TEXTSPLIT(C23,CHAR(10)),"-",-1),"km","")))</f>
        <v>106.9</v>
      </c>
      <c r="E23" s="9">
        <f t="shared" si="6"/>
        <v>4.12844036697248</v>
      </c>
      <c r="F23" s="9">
        <f t="shared" si="7"/>
        <v>4.5</v>
      </c>
      <c r="G23" s="9">
        <f t="shared" si="8"/>
        <v>441.330275229358</v>
      </c>
      <c r="H23" s="9">
        <f t="shared" si="9"/>
        <v>481.05</v>
      </c>
      <c r="I23" s="9">
        <f t="shared" si="10"/>
        <v>3.5</v>
      </c>
      <c r="J23" s="9">
        <f t="shared" si="11"/>
        <v>374.15</v>
      </c>
      <c r="K23" s="7" t="s">
        <v>18</v>
      </c>
      <c r="L23" s="7"/>
      <c r="M23" s="7"/>
      <c r="N23" s="18"/>
      <c r="O23" s="6"/>
    </row>
    <row r="24" s="18" customFormat="1" ht="109.2" spans="1:15">
      <c r="A24" s="7">
        <v>23</v>
      </c>
      <c r="B24" s="26">
        <v>46000</v>
      </c>
      <c r="C24" s="8" t="s">
        <v>41</v>
      </c>
      <c r="D24" s="7" cm="1">
        <f t="array" ref="D24">SUM(VALUE(SUBSTITUTE(_xlfn.TEXTAFTER(_xlfn.TEXTSPLIT(C24,CHAR(10)),"-",-1),"km","")))</f>
        <v>615</v>
      </c>
      <c r="E24" s="9">
        <f t="shared" si="6"/>
        <v>3.76146788990826</v>
      </c>
      <c r="F24" s="9">
        <f t="shared" si="7"/>
        <v>4.1</v>
      </c>
      <c r="G24" s="9">
        <f t="shared" si="8"/>
        <v>2313.30275229358</v>
      </c>
      <c r="H24" s="9">
        <f t="shared" si="9"/>
        <v>2521.5</v>
      </c>
      <c r="I24" s="9">
        <f t="shared" si="10"/>
        <v>3.2</v>
      </c>
      <c r="J24" s="9">
        <f t="shared" si="11"/>
        <v>1968</v>
      </c>
      <c r="K24" s="7" t="s">
        <v>13</v>
      </c>
      <c r="L24" s="7"/>
      <c r="M24" s="7"/>
      <c r="N24" s="18"/>
      <c r="O24" s="6"/>
    </row>
    <row r="25" s="18" customFormat="1" ht="78" spans="1:15">
      <c r="A25" s="7">
        <v>24</v>
      </c>
      <c r="B25" s="26">
        <v>46000</v>
      </c>
      <c r="C25" s="8" t="s">
        <v>42</v>
      </c>
      <c r="D25" s="7" cm="1">
        <f t="array" ref="D25">SUM(VALUE(SUBSTITUTE(_xlfn.TEXTAFTER(_xlfn.TEXTSPLIT(C25,CHAR(10)),"-",-1),"km","")))</f>
        <v>336</v>
      </c>
      <c r="E25" s="9">
        <f t="shared" si="6"/>
        <v>3.76146788990826</v>
      </c>
      <c r="F25" s="9">
        <f t="shared" si="7"/>
        <v>4.1</v>
      </c>
      <c r="G25" s="9">
        <f t="shared" si="8"/>
        <v>1263.85321100917</v>
      </c>
      <c r="H25" s="9">
        <f t="shared" si="9"/>
        <v>1377.6</v>
      </c>
      <c r="I25" s="9">
        <f t="shared" si="10"/>
        <v>3.2</v>
      </c>
      <c r="J25" s="9">
        <f t="shared" si="11"/>
        <v>1075.2</v>
      </c>
      <c r="K25" s="7" t="s">
        <v>36</v>
      </c>
      <c r="L25" s="7"/>
      <c r="M25" s="7"/>
      <c r="N25" s="18"/>
      <c r="O25" s="6"/>
    </row>
    <row r="26" s="18" customFormat="1" ht="62.4" spans="1:15">
      <c r="A26" s="7">
        <v>25</v>
      </c>
      <c r="B26" s="26">
        <v>46000</v>
      </c>
      <c r="C26" s="8" t="s">
        <v>43</v>
      </c>
      <c r="D26" s="7" cm="1">
        <f t="array" ref="D26">SUM(VALUE(SUBSTITUTE(_xlfn.TEXTAFTER(_xlfn.TEXTSPLIT(C26,CHAR(10)),"-",-1),"km","")))</f>
        <v>325</v>
      </c>
      <c r="E26" s="9">
        <f t="shared" si="6"/>
        <v>3.76146788990826</v>
      </c>
      <c r="F26" s="9">
        <f t="shared" si="7"/>
        <v>4.1</v>
      </c>
      <c r="G26" s="9">
        <f t="shared" si="8"/>
        <v>1222.47706422018</v>
      </c>
      <c r="H26" s="9">
        <f t="shared" si="9"/>
        <v>1332.5</v>
      </c>
      <c r="I26" s="9">
        <f t="shared" si="10"/>
        <v>3.2</v>
      </c>
      <c r="J26" s="9">
        <f t="shared" si="11"/>
        <v>1040</v>
      </c>
      <c r="K26" s="7" t="s">
        <v>28</v>
      </c>
      <c r="L26" s="7"/>
      <c r="M26" s="7"/>
      <c r="N26" s="18"/>
      <c r="O26" s="6"/>
    </row>
    <row r="27" s="18" customFormat="1" ht="93.6" spans="1:15">
      <c r="A27" s="7">
        <v>26</v>
      </c>
      <c r="B27" s="26">
        <v>46000</v>
      </c>
      <c r="C27" s="8" t="s">
        <v>44</v>
      </c>
      <c r="D27" s="7" cm="1">
        <f t="array" ref="D27">SUM(VALUE(SUBSTITUTE(_xlfn.TEXTAFTER(_xlfn.TEXTSPLIT(C27,CHAR(10)),"-",-1),"km","")))</f>
        <v>377.7</v>
      </c>
      <c r="E27" s="9">
        <f t="shared" si="6"/>
        <v>3.76146788990826</v>
      </c>
      <c r="F27" s="9">
        <f t="shared" si="7"/>
        <v>4.1</v>
      </c>
      <c r="G27" s="9">
        <f t="shared" si="8"/>
        <v>1420.70642201835</v>
      </c>
      <c r="H27" s="9">
        <f t="shared" si="9"/>
        <v>1548.57</v>
      </c>
      <c r="I27" s="9">
        <f t="shared" si="10"/>
        <v>3.2</v>
      </c>
      <c r="J27" s="9">
        <f t="shared" si="11"/>
        <v>1208.64</v>
      </c>
      <c r="K27" s="7" t="s">
        <v>18</v>
      </c>
      <c r="L27" s="7"/>
      <c r="M27" s="7"/>
      <c r="N27" s="18"/>
      <c r="O27" s="6"/>
    </row>
    <row r="28" s="18" customFormat="1" ht="124.8" spans="1:15">
      <c r="A28" s="7">
        <v>27</v>
      </c>
      <c r="B28" s="26">
        <v>46001</v>
      </c>
      <c r="C28" s="8" t="s">
        <v>45</v>
      </c>
      <c r="D28" s="7" cm="1">
        <f t="array" ref="D28">SUM(VALUE(SUBSTITUTE(_xlfn.TEXTAFTER(_xlfn.TEXTSPLIT(C28,CHAR(10)),"-",-1),"km","")))</f>
        <v>386.8</v>
      </c>
      <c r="E28" s="9">
        <f t="shared" si="6"/>
        <v>3.76146788990826</v>
      </c>
      <c r="F28" s="9">
        <f t="shared" si="7"/>
        <v>4.1</v>
      </c>
      <c r="G28" s="9">
        <f t="shared" si="8"/>
        <v>1454.93577981651</v>
      </c>
      <c r="H28" s="9">
        <f t="shared" si="9"/>
        <v>1585.88</v>
      </c>
      <c r="I28" s="9">
        <f t="shared" si="10"/>
        <v>3.2</v>
      </c>
      <c r="J28" s="9">
        <f t="shared" si="11"/>
        <v>1237.76</v>
      </c>
      <c r="K28" s="7" t="s">
        <v>22</v>
      </c>
      <c r="L28" s="7"/>
      <c r="M28" s="7"/>
      <c r="N28" s="18"/>
      <c r="O28" s="6"/>
    </row>
    <row r="29" s="18" customFormat="1" ht="171.6" spans="1:15">
      <c r="A29" s="7">
        <v>28</v>
      </c>
      <c r="B29" s="26">
        <v>46001</v>
      </c>
      <c r="C29" s="8" t="s">
        <v>46</v>
      </c>
      <c r="D29" s="7" cm="1">
        <f t="array" ref="D29">SUM(VALUE(SUBSTITUTE(_xlfn.TEXTAFTER(_xlfn.TEXTSPLIT(C29,CHAR(10)),"-",-1),"km","")))</f>
        <v>215.9</v>
      </c>
      <c r="E29" s="9">
        <f t="shared" si="6"/>
        <v>3.94495412844037</v>
      </c>
      <c r="F29" s="9">
        <f t="shared" si="7"/>
        <v>4.3</v>
      </c>
      <c r="G29" s="9">
        <f t="shared" si="8"/>
        <v>851.715596330275</v>
      </c>
      <c r="H29" s="9">
        <f t="shared" si="9"/>
        <v>928.37</v>
      </c>
      <c r="I29" s="9">
        <f t="shared" si="10"/>
        <v>3.5</v>
      </c>
      <c r="J29" s="9">
        <f t="shared" si="11"/>
        <v>755.65</v>
      </c>
      <c r="K29" s="7" t="s">
        <v>18</v>
      </c>
      <c r="L29" s="7"/>
      <c r="M29" s="7"/>
      <c r="N29" s="18"/>
      <c r="O29" s="6"/>
    </row>
    <row r="30" s="18" customFormat="1" ht="109.2" spans="1:15">
      <c r="A30" s="7">
        <v>29</v>
      </c>
      <c r="B30" s="26">
        <v>46001</v>
      </c>
      <c r="C30" s="8" t="s">
        <v>47</v>
      </c>
      <c r="D30" s="7" cm="1">
        <f t="array" ref="D30">SUM(VALUE(SUBSTITUTE(_xlfn.TEXTAFTER(_xlfn.TEXTSPLIT(C30,CHAR(10)),"-",-1),"km","")))</f>
        <v>206.7</v>
      </c>
      <c r="E30" s="9">
        <f t="shared" si="6"/>
        <v>3.94495412844037</v>
      </c>
      <c r="F30" s="9">
        <f t="shared" si="7"/>
        <v>4.3</v>
      </c>
      <c r="G30" s="9">
        <f t="shared" si="8"/>
        <v>815.422018348624</v>
      </c>
      <c r="H30" s="9">
        <f t="shared" si="9"/>
        <v>888.81</v>
      </c>
      <c r="I30" s="9">
        <f t="shared" si="10"/>
        <v>3.5</v>
      </c>
      <c r="J30" s="9">
        <f t="shared" si="11"/>
        <v>723.45</v>
      </c>
      <c r="K30" s="7" t="s">
        <v>36</v>
      </c>
      <c r="L30" s="7"/>
      <c r="M30" s="7"/>
      <c r="N30" s="18"/>
      <c r="O30" s="6"/>
    </row>
    <row r="31" s="18" customFormat="1" ht="78" spans="1:15">
      <c r="A31" s="7">
        <v>30</v>
      </c>
      <c r="B31" s="26">
        <v>46002</v>
      </c>
      <c r="C31" s="8" t="s">
        <v>48</v>
      </c>
      <c r="D31" s="7" cm="1">
        <f t="array" ref="D31">SUM(VALUE(SUBSTITUTE(_xlfn.TEXTAFTER(_xlfn.TEXTSPLIT(C31,CHAR(10)),"-",-1),"km","")))</f>
        <v>334</v>
      </c>
      <c r="E31" s="9">
        <f t="shared" si="6"/>
        <v>3.76146788990826</v>
      </c>
      <c r="F31" s="9">
        <f t="shared" si="7"/>
        <v>4.1</v>
      </c>
      <c r="G31" s="9">
        <f t="shared" si="8"/>
        <v>1256.33027522936</v>
      </c>
      <c r="H31" s="9">
        <f t="shared" si="9"/>
        <v>1369.4</v>
      </c>
      <c r="I31" s="9">
        <f t="shared" si="10"/>
        <v>3.2</v>
      </c>
      <c r="J31" s="9">
        <f t="shared" si="11"/>
        <v>1068.8</v>
      </c>
      <c r="K31" s="7" t="s">
        <v>18</v>
      </c>
      <c r="L31" s="7"/>
      <c r="M31" s="7"/>
      <c r="N31" s="18"/>
      <c r="O31" s="6"/>
    </row>
    <row r="32" s="18" customFormat="1" ht="140.4" spans="1:15">
      <c r="A32" s="7">
        <v>31</v>
      </c>
      <c r="B32" s="26">
        <v>46002</v>
      </c>
      <c r="C32" s="8" t="s">
        <v>49</v>
      </c>
      <c r="D32" s="7" cm="1">
        <f t="array" ref="D32">SUM(VALUE(SUBSTITUTE(_xlfn.TEXTAFTER(_xlfn.TEXTSPLIT(C32,CHAR(10)),"-",-1),"km","")))</f>
        <v>732.5</v>
      </c>
      <c r="E32" s="9">
        <f t="shared" si="6"/>
        <v>3.76146788990826</v>
      </c>
      <c r="F32" s="9">
        <f t="shared" si="7"/>
        <v>4.1</v>
      </c>
      <c r="G32" s="9">
        <f t="shared" si="8"/>
        <v>2755.2752293578</v>
      </c>
      <c r="H32" s="9">
        <f t="shared" si="9"/>
        <v>3003.25</v>
      </c>
      <c r="I32" s="9">
        <f t="shared" si="10"/>
        <v>3.2</v>
      </c>
      <c r="J32" s="9">
        <f t="shared" si="11"/>
        <v>2344</v>
      </c>
      <c r="K32" s="7" t="s">
        <v>36</v>
      </c>
      <c r="L32" s="7"/>
      <c r="M32" s="7"/>
      <c r="N32" s="18"/>
      <c r="O32" s="6"/>
    </row>
    <row r="33" s="6" customFormat="1" ht="93.6" spans="1:13">
      <c r="A33" s="7">
        <v>32</v>
      </c>
      <c r="B33" s="26">
        <v>46002</v>
      </c>
      <c r="C33" s="8" t="s">
        <v>50</v>
      </c>
      <c r="D33" s="7" cm="1">
        <f t="array" ref="D33">SUM(VALUE(SUBSTITUTE(_xlfn.TEXTAFTER(_xlfn.TEXTSPLIT(C33,CHAR(10)),"-",-1),"km","")))</f>
        <v>266.4</v>
      </c>
      <c r="E33" s="9">
        <f t="shared" si="6"/>
        <v>3.94495412844037</v>
      </c>
      <c r="F33" s="9">
        <f t="shared" si="7"/>
        <v>4.3</v>
      </c>
      <c r="G33" s="9">
        <f t="shared" si="8"/>
        <v>1050.93577981651</v>
      </c>
      <c r="H33" s="9">
        <f t="shared" si="9"/>
        <v>1145.52</v>
      </c>
      <c r="I33" s="9">
        <f t="shared" si="10"/>
        <v>3.5</v>
      </c>
      <c r="J33" s="9">
        <f t="shared" si="11"/>
        <v>932.4</v>
      </c>
      <c r="K33" s="7" t="s">
        <v>28</v>
      </c>
      <c r="L33" s="7"/>
      <c r="M33" s="7"/>
    </row>
    <row r="34" s="6" customFormat="1" ht="124.8" spans="1:13">
      <c r="A34" s="7">
        <v>33</v>
      </c>
      <c r="B34" s="26">
        <v>46003</v>
      </c>
      <c r="C34" s="8" t="s">
        <v>51</v>
      </c>
      <c r="D34" s="7" cm="1">
        <f t="array" ref="D34">SUM(VALUE(SUBSTITUTE(_xlfn.TEXTAFTER(_xlfn.TEXTSPLIT(C34,CHAR(10)),"-",-1),"km","")))</f>
        <v>240</v>
      </c>
      <c r="E34" s="9">
        <f t="shared" si="6"/>
        <v>3.94495412844037</v>
      </c>
      <c r="F34" s="9">
        <f t="shared" si="7"/>
        <v>4.3</v>
      </c>
      <c r="G34" s="9">
        <f t="shared" si="8"/>
        <v>946.788990825688</v>
      </c>
      <c r="H34" s="9">
        <f t="shared" si="9"/>
        <v>1032</v>
      </c>
      <c r="I34" s="9">
        <f t="shared" si="10"/>
        <v>3.5</v>
      </c>
      <c r="J34" s="9">
        <f t="shared" si="11"/>
        <v>840</v>
      </c>
      <c r="K34" s="7" t="s">
        <v>22</v>
      </c>
      <c r="L34" s="9"/>
      <c r="M34" s="7"/>
    </row>
    <row r="35" s="6" customFormat="1" ht="171.6" spans="1:13">
      <c r="A35" s="7">
        <v>34</v>
      </c>
      <c r="B35" s="26">
        <v>46003</v>
      </c>
      <c r="C35" s="8" t="s">
        <v>52</v>
      </c>
      <c r="D35" s="7" cm="1">
        <f t="array" ref="D35">SUM(VALUE(SUBSTITUTE(_xlfn.TEXTAFTER(_xlfn.TEXTSPLIT(C35,CHAR(10)),"-",-1),"km","")))</f>
        <v>332.2</v>
      </c>
      <c r="E35" s="9">
        <f t="shared" si="6"/>
        <v>3.76146788990826</v>
      </c>
      <c r="F35" s="9">
        <f t="shared" si="7"/>
        <v>4.1</v>
      </c>
      <c r="G35" s="9">
        <f t="shared" si="8"/>
        <v>1249.55963302752</v>
      </c>
      <c r="H35" s="9">
        <f t="shared" si="9"/>
        <v>1362.02</v>
      </c>
      <c r="I35" s="9">
        <f t="shared" si="10"/>
        <v>3.2</v>
      </c>
      <c r="J35" s="9">
        <f t="shared" si="11"/>
        <v>1063.04</v>
      </c>
      <c r="K35" s="7" t="s">
        <v>15</v>
      </c>
      <c r="L35" s="7"/>
      <c r="M35" s="9"/>
    </row>
    <row r="36" s="6" customFormat="1" ht="140.4" spans="1:13">
      <c r="A36" s="7">
        <v>35</v>
      </c>
      <c r="B36" s="26">
        <v>46003</v>
      </c>
      <c r="C36" s="8" t="s">
        <v>53</v>
      </c>
      <c r="D36" s="7" cm="1">
        <f t="array" ref="D36">SUM(VALUE(SUBSTITUTE(_xlfn.TEXTAFTER(_xlfn.TEXTSPLIT(C36,CHAR(10)),"-",-1),"km","")))</f>
        <v>261</v>
      </c>
      <c r="E36" s="9">
        <f t="shared" si="6"/>
        <v>3.94495412844037</v>
      </c>
      <c r="F36" s="9">
        <f t="shared" si="7"/>
        <v>4.3</v>
      </c>
      <c r="G36" s="9">
        <f t="shared" si="8"/>
        <v>1029.63302752294</v>
      </c>
      <c r="H36" s="9">
        <f t="shared" si="9"/>
        <v>1122.3</v>
      </c>
      <c r="I36" s="9">
        <f t="shared" si="10"/>
        <v>3.5</v>
      </c>
      <c r="J36" s="9">
        <f t="shared" si="11"/>
        <v>913.5</v>
      </c>
      <c r="K36" s="7" t="s">
        <v>28</v>
      </c>
      <c r="L36" s="7"/>
      <c r="M36" s="7"/>
    </row>
    <row r="37" s="6" customFormat="1" ht="187.2" spans="1:13">
      <c r="A37" s="7">
        <v>36</v>
      </c>
      <c r="B37" s="26">
        <v>46004</v>
      </c>
      <c r="C37" s="8" t="s">
        <v>54</v>
      </c>
      <c r="D37" s="7" cm="1">
        <f t="array" ref="D37">SUM(VALUE(SUBSTITUTE(_xlfn.TEXTAFTER(_xlfn.TEXTSPLIT(C37,CHAR(10)),"-",-1),"km","")))</f>
        <v>485.5</v>
      </c>
      <c r="E37" s="9">
        <f t="shared" si="6"/>
        <v>3.76146788990826</v>
      </c>
      <c r="F37" s="9">
        <f t="shared" si="7"/>
        <v>4.1</v>
      </c>
      <c r="G37" s="9">
        <f t="shared" si="8"/>
        <v>1826.19266055046</v>
      </c>
      <c r="H37" s="9">
        <f t="shared" si="9"/>
        <v>1990.55</v>
      </c>
      <c r="I37" s="9">
        <f t="shared" si="10"/>
        <v>3.2</v>
      </c>
      <c r="J37" s="9">
        <f t="shared" si="11"/>
        <v>1553.6</v>
      </c>
      <c r="K37" s="7" t="s">
        <v>28</v>
      </c>
      <c r="L37" s="7"/>
      <c r="M37" s="7"/>
    </row>
    <row r="38" s="6" customFormat="1" ht="140.4" spans="1:13">
      <c r="A38" s="7">
        <v>37</v>
      </c>
      <c r="B38" s="26">
        <v>46004</v>
      </c>
      <c r="C38" s="8" t="s">
        <v>55</v>
      </c>
      <c r="D38" s="7" cm="1">
        <f t="array" ref="D38">SUM(VALUE(SUBSTITUTE(_xlfn.TEXTAFTER(_xlfn.TEXTSPLIT(C38,CHAR(10)),"-",-1),"km","")))</f>
        <v>669</v>
      </c>
      <c r="E38" s="9">
        <f t="shared" si="6"/>
        <v>3.76146788990826</v>
      </c>
      <c r="F38" s="9">
        <f t="shared" si="7"/>
        <v>4.1</v>
      </c>
      <c r="G38" s="9">
        <f t="shared" si="8"/>
        <v>2516.42201834862</v>
      </c>
      <c r="H38" s="9">
        <f t="shared" si="9"/>
        <v>2742.9</v>
      </c>
      <c r="I38" s="9">
        <f t="shared" si="10"/>
        <v>3.2</v>
      </c>
      <c r="J38" s="9">
        <f t="shared" si="11"/>
        <v>2140.8</v>
      </c>
      <c r="K38" s="7" t="s">
        <v>15</v>
      </c>
      <c r="L38" s="7"/>
      <c r="M38" s="7"/>
    </row>
    <row r="39" s="6" customFormat="1" ht="31.2" spans="1:13">
      <c r="A39" s="7">
        <v>38</v>
      </c>
      <c r="B39" s="26">
        <v>46004</v>
      </c>
      <c r="C39" s="8" t="s">
        <v>56</v>
      </c>
      <c r="D39" s="7">
        <v>1</v>
      </c>
      <c r="E39" s="9">
        <f t="shared" si="6"/>
        <v>440.366972477064</v>
      </c>
      <c r="F39" s="9">
        <v>480</v>
      </c>
      <c r="G39" s="9">
        <f t="shared" si="8"/>
        <v>440.366972477064</v>
      </c>
      <c r="H39" s="9">
        <f t="shared" si="9"/>
        <v>480</v>
      </c>
      <c r="I39" s="9">
        <v>450</v>
      </c>
      <c r="J39" s="9">
        <f t="shared" si="11"/>
        <v>450</v>
      </c>
      <c r="K39" s="7" t="s">
        <v>22</v>
      </c>
      <c r="L39" s="7"/>
      <c r="M39" s="7"/>
    </row>
    <row r="40" s="6" customFormat="1" ht="31.2" spans="1:13">
      <c r="A40" s="7">
        <v>39</v>
      </c>
      <c r="B40" s="26">
        <v>46004</v>
      </c>
      <c r="C40" s="8" t="s">
        <v>56</v>
      </c>
      <c r="D40" s="7">
        <v>1</v>
      </c>
      <c r="E40" s="9">
        <f t="shared" si="6"/>
        <v>440.366972477064</v>
      </c>
      <c r="F40" s="9">
        <v>480</v>
      </c>
      <c r="G40" s="9">
        <f t="shared" si="8"/>
        <v>440.366972477064</v>
      </c>
      <c r="H40" s="9">
        <f t="shared" si="9"/>
        <v>480</v>
      </c>
      <c r="I40" s="9">
        <v>450</v>
      </c>
      <c r="J40" s="9">
        <f t="shared" si="11"/>
        <v>450</v>
      </c>
      <c r="K40" s="7" t="s">
        <v>22</v>
      </c>
      <c r="L40" s="7"/>
      <c r="M40" s="7"/>
    </row>
    <row r="41" s="6" customFormat="1" spans="1:13">
      <c r="A41" s="7">
        <v>40</v>
      </c>
      <c r="B41" s="26">
        <v>46004</v>
      </c>
      <c r="C41" s="8" t="s">
        <v>57</v>
      </c>
      <c r="D41" s="7" cm="1">
        <f t="array" ref="D41">SUM(VALUE(SUBSTITUTE(_xlfn.TEXTAFTER(_xlfn.TEXTSPLIT(C41,CHAR(10)),"-",-1),"km","")))</f>
        <v>274</v>
      </c>
      <c r="E41" s="9">
        <f t="shared" si="6"/>
        <v>3.94495412844037</v>
      </c>
      <c r="F41" s="9">
        <f t="shared" si="7"/>
        <v>4.3</v>
      </c>
      <c r="G41" s="9">
        <f t="shared" si="8"/>
        <v>1080.91743119266</v>
      </c>
      <c r="H41" s="9">
        <f t="shared" si="9"/>
        <v>1178.2</v>
      </c>
      <c r="I41" s="9">
        <f t="shared" si="10"/>
        <v>3.5</v>
      </c>
      <c r="J41" s="9">
        <f t="shared" si="11"/>
        <v>959</v>
      </c>
      <c r="K41" s="7" t="s">
        <v>18</v>
      </c>
      <c r="L41" s="7"/>
      <c r="M41" s="7"/>
    </row>
    <row r="42" s="6" customFormat="1" spans="1:13">
      <c r="A42" s="7">
        <v>41</v>
      </c>
      <c r="B42" s="26">
        <v>46004</v>
      </c>
      <c r="C42" s="8" t="s">
        <v>57</v>
      </c>
      <c r="D42" s="7" cm="1">
        <f t="array" ref="D42">SUM(VALUE(SUBSTITUTE(_xlfn.TEXTAFTER(_xlfn.TEXTSPLIT(C42,CHAR(10)),"-",-1),"km","")))</f>
        <v>274</v>
      </c>
      <c r="E42" s="9">
        <f t="shared" si="6"/>
        <v>3.94495412844037</v>
      </c>
      <c r="F42" s="9">
        <f t="shared" si="7"/>
        <v>4.3</v>
      </c>
      <c r="G42" s="9">
        <f t="shared" si="8"/>
        <v>1080.91743119266</v>
      </c>
      <c r="H42" s="9">
        <f t="shared" si="9"/>
        <v>1178.2</v>
      </c>
      <c r="I42" s="9">
        <f t="shared" si="10"/>
        <v>3.5</v>
      </c>
      <c r="J42" s="9">
        <f t="shared" si="11"/>
        <v>959</v>
      </c>
      <c r="K42" s="7" t="s">
        <v>13</v>
      </c>
      <c r="L42" s="7"/>
      <c r="M42" s="7"/>
    </row>
    <row r="43" s="6" customFormat="1" ht="171.6" spans="1:13">
      <c r="A43" s="7">
        <v>42</v>
      </c>
      <c r="B43" s="26">
        <v>46005</v>
      </c>
      <c r="C43" s="8" t="s">
        <v>58</v>
      </c>
      <c r="D43" s="7" cm="1">
        <f t="array" ref="D43">SUM(VALUE(SUBSTITUTE(_xlfn.TEXTAFTER(_xlfn.TEXTSPLIT(C43,CHAR(10)),"-",-1),"km","")))</f>
        <v>386.3</v>
      </c>
      <c r="E43" s="9">
        <f t="shared" si="6"/>
        <v>3.76146788990826</v>
      </c>
      <c r="F43" s="9">
        <f t="shared" si="7"/>
        <v>4.1</v>
      </c>
      <c r="G43" s="9">
        <f t="shared" si="8"/>
        <v>1453.05504587156</v>
      </c>
      <c r="H43" s="9">
        <f t="shared" si="9"/>
        <v>1583.83</v>
      </c>
      <c r="I43" s="9">
        <f t="shared" si="10"/>
        <v>3.2</v>
      </c>
      <c r="J43" s="9">
        <f t="shared" si="11"/>
        <v>1236.16</v>
      </c>
      <c r="K43" s="7" t="s">
        <v>13</v>
      </c>
      <c r="L43" s="7"/>
      <c r="M43" s="7"/>
    </row>
    <row r="44" s="6" customFormat="1" ht="140.4" spans="1:13">
      <c r="A44" s="7">
        <v>43</v>
      </c>
      <c r="B44" s="26">
        <v>46006</v>
      </c>
      <c r="C44" s="8" t="s">
        <v>59</v>
      </c>
      <c r="D44" s="7" cm="1">
        <f t="array" ref="D44">SUM(VALUE(SUBSTITUTE(_xlfn.TEXTAFTER(_xlfn.TEXTSPLIT(C44,CHAR(10)),"-",-1),"km","")))</f>
        <v>421.7</v>
      </c>
      <c r="E44" s="9">
        <f t="shared" si="6"/>
        <v>3.76146788990826</v>
      </c>
      <c r="F44" s="9">
        <f t="shared" si="7"/>
        <v>4.1</v>
      </c>
      <c r="G44" s="9">
        <f t="shared" si="8"/>
        <v>1586.21100917431</v>
      </c>
      <c r="H44" s="9">
        <f t="shared" si="9"/>
        <v>1728.97</v>
      </c>
      <c r="I44" s="9">
        <f t="shared" si="10"/>
        <v>3.2</v>
      </c>
      <c r="J44" s="9">
        <f t="shared" si="11"/>
        <v>1349.44</v>
      </c>
      <c r="K44" s="7" t="s">
        <v>18</v>
      </c>
      <c r="L44" s="7"/>
      <c r="M44" s="7"/>
    </row>
    <row r="45" s="6" customFormat="1" ht="109.2" spans="1:13">
      <c r="A45" s="7">
        <v>44</v>
      </c>
      <c r="B45" s="26">
        <v>46006</v>
      </c>
      <c r="C45" s="8" t="s">
        <v>60</v>
      </c>
      <c r="D45" s="7" cm="1">
        <f t="array" ref="D45">SUM(VALUE(SUBSTITUTE(_xlfn.TEXTAFTER(_xlfn.TEXTSPLIT(C45,CHAR(10)),"-",-1),"km","")))</f>
        <v>195</v>
      </c>
      <c r="E45" s="9">
        <f t="shared" ref="E42:E64" si="12">F45/1.09</f>
        <v>4.12844036697248</v>
      </c>
      <c r="F45" s="9">
        <f t="shared" si="7"/>
        <v>4.5</v>
      </c>
      <c r="G45" s="9">
        <f t="shared" ref="G42:G64" si="13">D45*E45</f>
        <v>805.045871559634</v>
      </c>
      <c r="H45" s="9">
        <f t="shared" ref="H42:H64" si="14">D45*F45</f>
        <v>877.5</v>
      </c>
      <c r="I45" s="9">
        <f t="shared" si="10"/>
        <v>3.5</v>
      </c>
      <c r="J45" s="9">
        <f t="shared" ref="J42:J64" si="15">D45*I45</f>
        <v>682.5</v>
      </c>
      <c r="K45" s="7" t="s">
        <v>36</v>
      </c>
      <c r="L45" s="7"/>
      <c r="M45" s="7"/>
    </row>
    <row r="46" s="6" customFormat="1" ht="31.2" spans="1:13">
      <c r="A46" s="7">
        <v>45</v>
      </c>
      <c r="B46" s="26">
        <v>46006</v>
      </c>
      <c r="C46" s="8" t="s">
        <v>61</v>
      </c>
      <c r="D46" s="7" cm="1">
        <f t="array" ref="D46">SUM(VALUE(SUBSTITUTE(_xlfn.TEXTAFTER(_xlfn.TEXTSPLIT(C46,CHAR(10)),"-",-1),"km","")))</f>
        <v>96</v>
      </c>
      <c r="E46" s="9">
        <f t="shared" si="12"/>
        <v>440.366972477064</v>
      </c>
      <c r="F46" s="9">
        <v>480</v>
      </c>
      <c r="G46" s="9">
        <f t="shared" si="13"/>
        <v>42275.2293577981</v>
      </c>
      <c r="H46" s="9">
        <f t="shared" si="14"/>
        <v>46080</v>
      </c>
      <c r="I46" s="9">
        <v>450</v>
      </c>
      <c r="J46" s="9">
        <f t="shared" si="15"/>
        <v>43200</v>
      </c>
      <c r="K46" s="7" t="s">
        <v>22</v>
      </c>
      <c r="L46" s="7"/>
      <c r="M46" s="7"/>
    </row>
    <row r="47" s="6" customFormat="1" ht="93.6" spans="1:13">
      <c r="A47" s="7">
        <v>46</v>
      </c>
      <c r="B47" s="26">
        <v>46007</v>
      </c>
      <c r="C47" s="8" t="s">
        <v>50</v>
      </c>
      <c r="D47" s="7" cm="1">
        <f t="array" ref="D47">SUM(VALUE(SUBSTITUTE(_xlfn.TEXTAFTER(_xlfn.TEXTSPLIT(C47,CHAR(10)),"-",-1),"km","")))</f>
        <v>266.4</v>
      </c>
      <c r="E47" s="9">
        <f t="shared" si="12"/>
        <v>3.94495412844037</v>
      </c>
      <c r="F47" s="9">
        <f t="shared" si="7"/>
        <v>4.3</v>
      </c>
      <c r="G47" s="9">
        <f t="shared" si="13"/>
        <v>1050.93577981651</v>
      </c>
      <c r="H47" s="9">
        <f t="shared" si="14"/>
        <v>1145.52</v>
      </c>
      <c r="I47" s="9">
        <f t="shared" si="10"/>
        <v>3.5</v>
      </c>
      <c r="J47" s="9">
        <f t="shared" si="15"/>
        <v>932.4</v>
      </c>
      <c r="K47" s="7" t="s">
        <v>28</v>
      </c>
      <c r="L47" s="7"/>
      <c r="M47" s="7"/>
    </row>
    <row r="48" s="6" customFormat="1" ht="140.4" spans="1:13">
      <c r="A48" s="7">
        <v>47</v>
      </c>
      <c r="B48" s="26">
        <v>46007</v>
      </c>
      <c r="C48" s="8" t="s">
        <v>62</v>
      </c>
      <c r="D48" s="7" cm="1">
        <f t="array" ref="D48">SUM(VALUE(SUBSTITUTE(_xlfn.TEXTAFTER(_xlfn.TEXTSPLIT(C48,CHAR(10)),"-",-1),"km","")))</f>
        <v>490.7</v>
      </c>
      <c r="E48" s="9">
        <f t="shared" si="12"/>
        <v>3.76146788990826</v>
      </c>
      <c r="F48" s="9">
        <f t="shared" si="7"/>
        <v>4.1</v>
      </c>
      <c r="G48" s="9">
        <f t="shared" si="13"/>
        <v>1845.75229357798</v>
      </c>
      <c r="H48" s="9">
        <f t="shared" si="14"/>
        <v>2011.87</v>
      </c>
      <c r="I48" s="9">
        <f t="shared" si="10"/>
        <v>3.2</v>
      </c>
      <c r="J48" s="9">
        <f t="shared" si="15"/>
        <v>1570.24</v>
      </c>
      <c r="K48" s="7" t="s">
        <v>18</v>
      </c>
      <c r="L48" s="7"/>
      <c r="M48" s="7"/>
    </row>
    <row r="49" s="6" customFormat="1" ht="140.4" spans="1:16">
      <c r="A49" s="7">
        <v>48</v>
      </c>
      <c r="B49" s="26">
        <v>46007</v>
      </c>
      <c r="C49" s="8" t="s">
        <v>63</v>
      </c>
      <c r="D49" s="7" cm="1">
        <f t="array" ref="D49">SUM(VALUE(SUBSTITUTE(_xlfn.TEXTAFTER(_xlfn.TEXTSPLIT(C49,CHAR(10)),"-",-1),"km","")))</f>
        <v>574</v>
      </c>
      <c r="E49" s="9">
        <f t="shared" si="12"/>
        <v>3.76146788990826</v>
      </c>
      <c r="F49" s="9">
        <f t="shared" ref="F49:F62" si="16">IF(D49&gt;=301,4.1,IF(D49&gt;=201,4.3,IF(D49&gt;=101,4.5,"")))</f>
        <v>4.1</v>
      </c>
      <c r="G49" s="9">
        <f t="shared" si="13"/>
        <v>2159.08256880734</v>
      </c>
      <c r="H49" s="9">
        <f t="shared" si="14"/>
        <v>2353.4</v>
      </c>
      <c r="I49" s="9">
        <f t="shared" ref="I49:I62" si="17">IF(D49&gt;=301,3.2,IF(D49&gt;=201,3.5,IF(D49&gt;=101,3.5,"")))</f>
        <v>3.2</v>
      </c>
      <c r="J49" s="9">
        <f t="shared" si="15"/>
        <v>1836.8</v>
      </c>
      <c r="K49" s="7" t="s">
        <v>36</v>
      </c>
      <c r="L49" s="7"/>
      <c r="M49" s="7"/>
    </row>
    <row r="50" s="6" customFormat="1" ht="106" customHeight="1" spans="1:16">
      <c r="A50" s="7">
        <v>49</v>
      </c>
      <c r="B50" s="26">
        <v>46007</v>
      </c>
      <c r="C50" s="8" t="s">
        <v>64</v>
      </c>
      <c r="D50" s="7" cm="1">
        <f t="array" ref="D50">SUM(VALUE(SUBSTITUTE(_xlfn.TEXTAFTER(_xlfn.TEXTSPLIT(C50,CHAR(10)),"-",-1),"km","")))</f>
        <v>351</v>
      </c>
      <c r="E50" s="9">
        <f t="shared" si="12"/>
        <v>3.76146788990826</v>
      </c>
      <c r="F50" s="9">
        <f t="shared" si="16"/>
        <v>4.1</v>
      </c>
      <c r="G50" s="9">
        <f t="shared" si="13"/>
        <v>1320.2752293578</v>
      </c>
      <c r="H50" s="9">
        <f t="shared" si="14"/>
        <v>1439.1</v>
      </c>
      <c r="I50" s="9">
        <f t="shared" si="17"/>
        <v>3.2</v>
      </c>
      <c r="J50" s="9">
        <f t="shared" si="15"/>
        <v>1123.2</v>
      </c>
      <c r="K50" s="7" t="s">
        <v>13</v>
      </c>
      <c r="L50" s="7"/>
      <c r="M50" s="7"/>
    </row>
    <row r="51" s="6" customFormat="1" ht="140.4" spans="1:16">
      <c r="A51" s="7">
        <v>50</v>
      </c>
      <c r="B51" s="26">
        <v>46008</v>
      </c>
      <c r="C51" s="8" t="s">
        <v>65</v>
      </c>
      <c r="D51" s="7" cm="1">
        <f t="array" ref="D51">SUM(VALUE(SUBSTITUTE(_xlfn.TEXTAFTER(_xlfn.TEXTSPLIT(C51,CHAR(10)),"-",-1),"km","")))</f>
        <v>251.5</v>
      </c>
      <c r="E51" s="9">
        <f t="shared" si="12"/>
        <v>3.94495412844037</v>
      </c>
      <c r="F51" s="9">
        <f t="shared" si="16"/>
        <v>4.3</v>
      </c>
      <c r="G51" s="9">
        <f t="shared" si="13"/>
        <v>992.155963302752</v>
      </c>
      <c r="H51" s="9">
        <f t="shared" si="14"/>
        <v>1081.45</v>
      </c>
      <c r="I51" s="9">
        <f t="shared" si="17"/>
        <v>3.5</v>
      </c>
      <c r="J51" s="9">
        <f t="shared" si="15"/>
        <v>880.25</v>
      </c>
      <c r="K51" s="7" t="s">
        <v>28</v>
      </c>
      <c r="L51" s="7"/>
      <c r="M51" s="7"/>
    </row>
    <row r="52" s="6" customFormat="1" ht="109.2" spans="1:16">
      <c r="A52" s="7">
        <v>51</v>
      </c>
      <c r="B52" s="26">
        <v>46008</v>
      </c>
      <c r="C52" s="8" t="s">
        <v>66</v>
      </c>
      <c r="D52" s="7" cm="1">
        <f t="array" ref="D52">SUM(VALUE(SUBSTITUTE(_xlfn.TEXTAFTER(_xlfn.TEXTSPLIT(C52,CHAR(10)),"-",-1),"km","")))</f>
        <v>235</v>
      </c>
      <c r="E52" s="9">
        <f t="shared" si="12"/>
        <v>3.94495412844037</v>
      </c>
      <c r="F52" s="9">
        <f t="shared" si="16"/>
        <v>4.3</v>
      </c>
      <c r="G52" s="9">
        <f t="shared" si="13"/>
        <v>927.064220183486</v>
      </c>
      <c r="H52" s="9">
        <f t="shared" si="14"/>
        <v>1010.5</v>
      </c>
      <c r="I52" s="9">
        <f t="shared" si="17"/>
        <v>3.5</v>
      </c>
      <c r="J52" s="9">
        <f t="shared" si="15"/>
        <v>822.5</v>
      </c>
      <c r="K52" s="7" t="s">
        <v>22</v>
      </c>
      <c r="L52" s="7"/>
      <c r="M52" s="7"/>
    </row>
    <row r="53" s="19" customFormat="1" ht="140.4" spans="1:16">
      <c r="A53" s="7">
        <v>52</v>
      </c>
      <c r="B53" s="26">
        <v>46008</v>
      </c>
      <c r="C53" s="8" t="s">
        <v>67</v>
      </c>
      <c r="D53" s="7" cm="1">
        <f t="array" ref="D53">SUM(VALUE(SUBSTITUTE(_xlfn.TEXTAFTER(_xlfn.TEXTSPLIT(C53,CHAR(10)),"-",-1),"km","")))</f>
        <v>202.9</v>
      </c>
      <c r="E53" s="9">
        <f t="shared" si="12"/>
        <v>3.94495412844037</v>
      </c>
      <c r="F53" s="9">
        <f t="shared" si="16"/>
        <v>4.3</v>
      </c>
      <c r="G53" s="9">
        <f t="shared" si="13"/>
        <v>800.43119266055</v>
      </c>
      <c r="H53" s="9">
        <f t="shared" si="14"/>
        <v>872.47</v>
      </c>
      <c r="I53" s="9">
        <f t="shared" si="17"/>
        <v>3.5</v>
      </c>
      <c r="J53" s="9">
        <f t="shared" si="15"/>
        <v>710.15</v>
      </c>
      <c r="K53" s="7" t="s">
        <v>15</v>
      </c>
      <c r="L53" s="7"/>
      <c r="M53" s="7"/>
      <c r="N53" s="19"/>
      <c r="O53" s="6"/>
      <c r="P53" s="6"/>
    </row>
    <row r="54" s="6" customFormat="1" ht="119" customHeight="1" spans="1:16">
      <c r="A54" s="7">
        <v>53</v>
      </c>
      <c r="B54" s="26">
        <v>46009</v>
      </c>
      <c r="C54" s="8" t="s">
        <v>68</v>
      </c>
      <c r="D54" s="7" cm="1">
        <f t="array" ref="D54">SUM(VALUE(SUBSTITUTE(_xlfn.TEXTAFTER(_xlfn.TEXTSPLIT(C54,CHAR(10)),"-",-1),"km","")))</f>
        <v>505.8</v>
      </c>
      <c r="E54" s="9">
        <f t="shared" si="12"/>
        <v>3.76146788990826</v>
      </c>
      <c r="F54" s="9">
        <f t="shared" si="16"/>
        <v>4.1</v>
      </c>
      <c r="G54" s="9">
        <f t="shared" si="13"/>
        <v>1902.5504587156</v>
      </c>
      <c r="H54" s="9">
        <f t="shared" si="14"/>
        <v>2073.78</v>
      </c>
      <c r="I54" s="9">
        <f t="shared" si="17"/>
        <v>3.2</v>
      </c>
      <c r="J54" s="9">
        <f t="shared" si="15"/>
        <v>1618.56</v>
      </c>
      <c r="K54" s="7" t="s">
        <v>13</v>
      </c>
      <c r="L54" s="7"/>
      <c r="M54" s="7"/>
    </row>
    <row r="55" s="6" customFormat="1" ht="93.6" spans="1:16">
      <c r="A55" s="7">
        <v>54</v>
      </c>
      <c r="B55" s="26">
        <v>46009</v>
      </c>
      <c r="C55" s="8" t="s">
        <v>69</v>
      </c>
      <c r="D55" s="7" cm="1">
        <f t="array" ref="D55">SUM(VALUE(SUBSTITUTE(_xlfn.TEXTAFTER(_xlfn.TEXTSPLIT(C55,CHAR(10)),"-",-1),"km","")))</f>
        <v>358</v>
      </c>
      <c r="E55" s="9">
        <f t="shared" si="12"/>
        <v>3.76146788990826</v>
      </c>
      <c r="F55" s="9">
        <f t="shared" si="16"/>
        <v>4.1</v>
      </c>
      <c r="G55" s="9">
        <f t="shared" si="13"/>
        <v>1346.60550458716</v>
      </c>
      <c r="H55" s="9">
        <f t="shared" si="14"/>
        <v>1467.8</v>
      </c>
      <c r="I55" s="9">
        <f t="shared" si="17"/>
        <v>3.2</v>
      </c>
      <c r="J55" s="9">
        <f t="shared" si="15"/>
        <v>1145.6</v>
      </c>
      <c r="K55" s="7" t="s">
        <v>36</v>
      </c>
      <c r="L55" s="7"/>
      <c r="M55" s="7"/>
    </row>
    <row r="56" s="6" customFormat="1" ht="109.2" spans="1:16">
      <c r="A56" s="7">
        <v>55</v>
      </c>
      <c r="B56" s="26">
        <v>46009</v>
      </c>
      <c r="C56" s="8" t="s">
        <v>70</v>
      </c>
      <c r="D56" s="7" cm="1">
        <f t="array" ref="D56">SUM(VALUE(SUBSTITUTE(_xlfn.TEXTAFTER(_xlfn.TEXTSPLIT(C56,CHAR(10)),"-",-1),"km","")))</f>
        <v>388</v>
      </c>
      <c r="E56" s="9">
        <f t="shared" si="12"/>
        <v>3.76146788990826</v>
      </c>
      <c r="F56" s="9">
        <f t="shared" si="16"/>
        <v>4.1</v>
      </c>
      <c r="G56" s="9">
        <f t="shared" si="13"/>
        <v>1459.4495412844</v>
      </c>
      <c r="H56" s="9">
        <f t="shared" si="14"/>
        <v>1590.8</v>
      </c>
      <c r="I56" s="9">
        <f t="shared" si="17"/>
        <v>3.2</v>
      </c>
      <c r="J56" s="9">
        <f t="shared" si="15"/>
        <v>1241.6</v>
      </c>
      <c r="K56" s="7" t="s">
        <v>15</v>
      </c>
      <c r="L56" s="7"/>
      <c r="M56" s="7"/>
    </row>
    <row r="57" s="6" customFormat="1" ht="140.4" spans="1:16">
      <c r="A57" s="7">
        <v>56</v>
      </c>
      <c r="B57" s="26">
        <v>46010</v>
      </c>
      <c r="C57" s="8" t="s">
        <v>71</v>
      </c>
      <c r="D57" s="7" cm="1">
        <f t="array" ref="D57">SUM(VALUE(SUBSTITUTE(_xlfn.TEXTAFTER(_xlfn.TEXTSPLIT(C57,CHAR(10)),"-",-1),"km","")))</f>
        <v>196.5</v>
      </c>
      <c r="E57" s="9">
        <f t="shared" si="12"/>
        <v>4.12844036697248</v>
      </c>
      <c r="F57" s="9">
        <f t="shared" si="16"/>
        <v>4.5</v>
      </c>
      <c r="G57" s="9">
        <f t="shared" si="13"/>
        <v>811.238532110092</v>
      </c>
      <c r="H57" s="9">
        <f t="shared" si="14"/>
        <v>884.25</v>
      </c>
      <c r="I57" s="9">
        <f t="shared" si="17"/>
        <v>3.5</v>
      </c>
      <c r="J57" s="9">
        <f t="shared" si="15"/>
        <v>687.75</v>
      </c>
      <c r="K57" s="7" t="s">
        <v>28</v>
      </c>
      <c r="L57" s="7"/>
      <c r="M57" s="7"/>
    </row>
    <row r="58" s="6" customFormat="1" ht="156" spans="1:16">
      <c r="A58" s="7">
        <v>57</v>
      </c>
      <c r="B58" s="26">
        <v>46010</v>
      </c>
      <c r="C58" s="8" t="s">
        <v>72</v>
      </c>
      <c r="D58" s="7" cm="1">
        <f t="array" ref="D58">SUM(VALUE(SUBSTITUTE(_xlfn.TEXTAFTER(_xlfn.TEXTSPLIT(C58,CHAR(10)),"-",-1),"km","")))</f>
        <v>299.9</v>
      </c>
      <c r="E58" s="9">
        <f t="shared" si="12"/>
        <v>3.94495412844037</v>
      </c>
      <c r="F58" s="9">
        <f t="shared" si="16"/>
        <v>4.3</v>
      </c>
      <c r="G58" s="9">
        <f t="shared" si="13"/>
        <v>1183.09174311927</v>
      </c>
      <c r="H58" s="9">
        <f t="shared" si="14"/>
        <v>1289.57</v>
      </c>
      <c r="I58" s="9">
        <f t="shared" si="17"/>
        <v>3.5</v>
      </c>
      <c r="J58" s="9">
        <f t="shared" si="15"/>
        <v>1049.65</v>
      </c>
      <c r="K58" s="7" t="s">
        <v>15</v>
      </c>
      <c r="L58" s="7"/>
      <c r="M58" s="7"/>
    </row>
    <row r="59" s="6" customFormat="1" ht="156" spans="1:16">
      <c r="A59" s="7">
        <v>58</v>
      </c>
      <c r="B59" s="26">
        <v>46010</v>
      </c>
      <c r="C59" s="8" t="s">
        <v>73</v>
      </c>
      <c r="D59" s="7" cm="1">
        <f t="array" ref="D59">SUM(VALUE(SUBSTITUTE(_xlfn.TEXTAFTER(_xlfn.TEXTSPLIT(C59,CHAR(10)),"-",-1),"km","")))</f>
        <v>304.3</v>
      </c>
      <c r="E59" s="9">
        <f t="shared" si="12"/>
        <v>3.76146788990826</v>
      </c>
      <c r="F59" s="9">
        <f t="shared" si="16"/>
        <v>4.1</v>
      </c>
      <c r="G59" s="9">
        <f t="shared" si="13"/>
        <v>1144.61467889908</v>
      </c>
      <c r="H59" s="9">
        <f t="shared" si="14"/>
        <v>1247.63</v>
      </c>
      <c r="I59" s="9">
        <f t="shared" si="17"/>
        <v>3.2</v>
      </c>
      <c r="J59" s="9">
        <f t="shared" si="15"/>
        <v>973.76</v>
      </c>
      <c r="K59" s="7" t="s">
        <v>22</v>
      </c>
      <c r="L59" s="7"/>
      <c r="M59" s="7"/>
    </row>
    <row r="60" s="6" customFormat="1" ht="62.4" spans="1:16">
      <c r="A60" s="7">
        <v>59</v>
      </c>
      <c r="B60" s="26">
        <v>46011</v>
      </c>
      <c r="C60" s="8" t="s">
        <v>74</v>
      </c>
      <c r="D60" s="7" cm="1">
        <f t="array" ref="D60">SUM(VALUE(SUBSTITUTE(_xlfn.TEXTAFTER(_xlfn.TEXTSPLIT(C60,CHAR(10)),"-",-1),"km","")))</f>
        <v>408</v>
      </c>
      <c r="E60" s="9">
        <f t="shared" si="12"/>
        <v>3.76146788990826</v>
      </c>
      <c r="F60" s="9">
        <f t="shared" si="16"/>
        <v>4.1</v>
      </c>
      <c r="G60" s="9">
        <f t="shared" si="13"/>
        <v>1534.67889908257</v>
      </c>
      <c r="H60" s="9">
        <f t="shared" si="14"/>
        <v>1672.8</v>
      </c>
      <c r="I60" s="9">
        <f t="shared" si="17"/>
        <v>3.2</v>
      </c>
      <c r="J60" s="9">
        <f t="shared" si="15"/>
        <v>1305.6</v>
      </c>
      <c r="K60" s="7" t="s">
        <v>75</v>
      </c>
      <c r="L60" s="7"/>
      <c r="M60" s="7"/>
    </row>
    <row r="61" s="6" customFormat="1" ht="156" spans="1:16">
      <c r="A61" s="7">
        <v>60</v>
      </c>
      <c r="B61" s="26">
        <v>46011</v>
      </c>
      <c r="C61" s="8" t="s">
        <v>76</v>
      </c>
      <c r="D61" s="7" cm="1">
        <f t="array" ref="D61">SUM(VALUE(SUBSTITUTE(_xlfn.TEXTAFTER(_xlfn.TEXTSPLIT(C61,CHAR(10)),"-",-1),"km","")))</f>
        <v>513.3</v>
      </c>
      <c r="E61" s="9">
        <f t="shared" si="12"/>
        <v>3.76146788990826</v>
      </c>
      <c r="F61" s="9">
        <f t="shared" si="16"/>
        <v>4.1</v>
      </c>
      <c r="G61" s="9">
        <f t="shared" si="13"/>
        <v>1930.76146788991</v>
      </c>
      <c r="H61" s="9">
        <f t="shared" si="14"/>
        <v>2104.53</v>
      </c>
      <c r="I61" s="9">
        <f t="shared" si="17"/>
        <v>3.2</v>
      </c>
      <c r="J61" s="9">
        <f t="shared" si="15"/>
        <v>1642.56</v>
      </c>
      <c r="K61" s="7" t="s">
        <v>18</v>
      </c>
      <c r="L61" s="7"/>
      <c r="M61" s="7"/>
    </row>
    <row r="62" s="20" customFormat="1" ht="202.8" spans="1:16">
      <c r="A62" s="7">
        <v>61</v>
      </c>
      <c r="B62" s="26">
        <v>46011</v>
      </c>
      <c r="C62" s="27" t="s">
        <v>77</v>
      </c>
      <c r="D62" s="7" cm="1">
        <f t="array" ref="D62">SUM(VALUE(SUBSTITUTE(_xlfn.TEXTAFTER(_xlfn.TEXTSPLIT(C62,CHAR(10)),"-",-1),"km","")))</f>
        <v>585</v>
      </c>
      <c r="E62" s="9">
        <f t="shared" si="12"/>
        <v>3.76146788990826</v>
      </c>
      <c r="F62" s="9">
        <f t="shared" si="16"/>
        <v>4.1</v>
      </c>
      <c r="G62" s="9">
        <f t="shared" si="13"/>
        <v>2200.45871559633</v>
      </c>
      <c r="H62" s="9">
        <f t="shared" si="14"/>
        <v>2398.5</v>
      </c>
      <c r="I62" s="9">
        <f t="shared" si="17"/>
        <v>3.2</v>
      </c>
      <c r="J62" s="9">
        <f t="shared" si="15"/>
        <v>1872</v>
      </c>
      <c r="K62" s="28" t="s">
        <v>36</v>
      </c>
      <c r="L62" s="28"/>
      <c r="M62" s="28"/>
      <c r="N62" s="20"/>
      <c r="O62" s="6"/>
      <c r="P62" s="6"/>
    </row>
    <row r="63" s="20" customFormat="1" ht="36" customHeight="1" spans="1:16">
      <c r="A63" s="7">
        <v>62</v>
      </c>
      <c r="B63" s="26">
        <v>46011</v>
      </c>
      <c r="C63" s="27" t="s">
        <v>78</v>
      </c>
      <c r="D63" s="7">
        <v>1</v>
      </c>
      <c r="E63" s="9">
        <f t="shared" si="12"/>
        <v>440.366972477064</v>
      </c>
      <c r="F63" s="9">
        <v>480</v>
      </c>
      <c r="G63" s="9">
        <f t="shared" si="13"/>
        <v>440.366972477064</v>
      </c>
      <c r="H63" s="9">
        <f t="shared" si="14"/>
        <v>480</v>
      </c>
      <c r="I63" s="9">
        <v>450</v>
      </c>
      <c r="J63" s="9">
        <f t="shared" si="15"/>
        <v>450</v>
      </c>
      <c r="K63" s="28" t="s">
        <v>36</v>
      </c>
      <c r="L63" s="28"/>
      <c r="M63" s="28"/>
      <c r="O63" s="6"/>
      <c r="P63" s="6"/>
    </row>
    <row r="64" s="20" customFormat="1" ht="36" customHeight="1" spans="1:16">
      <c r="A64" s="7">
        <v>63</v>
      </c>
      <c r="B64" s="26">
        <v>46011</v>
      </c>
      <c r="C64" s="27" t="s">
        <v>78</v>
      </c>
      <c r="D64" s="7">
        <v>1</v>
      </c>
      <c r="E64" s="9">
        <f t="shared" si="12"/>
        <v>440.366972477064</v>
      </c>
      <c r="F64" s="9">
        <v>480</v>
      </c>
      <c r="G64" s="9">
        <f t="shared" si="13"/>
        <v>440.366972477064</v>
      </c>
      <c r="H64" s="9">
        <f t="shared" si="14"/>
        <v>480</v>
      </c>
      <c r="I64" s="9">
        <v>450</v>
      </c>
      <c r="J64" s="9">
        <f t="shared" si="15"/>
        <v>450</v>
      </c>
      <c r="K64" s="28" t="s">
        <v>36</v>
      </c>
      <c r="L64" s="28"/>
      <c r="M64" s="28"/>
      <c r="O64" s="6"/>
      <c r="P64" s="6"/>
    </row>
    <row r="65" s="6" customFormat="1" ht="101" customHeight="1" spans="1:13">
      <c r="A65" s="7">
        <v>64</v>
      </c>
      <c r="B65" s="26">
        <v>46012</v>
      </c>
      <c r="C65" s="8" t="s">
        <v>79</v>
      </c>
      <c r="D65" s="7" cm="1">
        <f t="array" ref="D65">SUM(VALUE(SUBSTITUTE(_xlfn.TEXTAFTER(_xlfn.TEXTSPLIT(C65,CHAR(10)),"-",-1),"km","")))</f>
        <v>199.3</v>
      </c>
      <c r="E65" s="9">
        <f t="shared" ref="E65:E80" si="18">F65/1.09</f>
        <v>4.12844036697248</v>
      </c>
      <c r="F65" s="9">
        <f t="shared" ref="F65:F80" si="19">IF(D65&gt;=301,4.1,IF(D65&gt;=201,4.3,IF(D65&gt;=101,4.5,"")))</f>
        <v>4.5</v>
      </c>
      <c r="G65" s="9">
        <f t="shared" ref="G65:G80" si="20">D65*E65</f>
        <v>822.798165137615</v>
      </c>
      <c r="H65" s="9">
        <f t="shared" ref="H65:H80" si="21">D65*F65</f>
        <v>896.85</v>
      </c>
      <c r="I65" s="9">
        <f t="shared" ref="I65:I80" si="22">IF(D65&gt;=301,3.2,IF(D65&gt;=201,3.5,IF(D65&gt;=101,3.5,"")))</f>
        <v>3.5</v>
      </c>
      <c r="J65" s="9">
        <f t="shared" ref="J65:J80" si="23">D65*I65</f>
        <v>697.55</v>
      </c>
      <c r="K65" s="7" t="s">
        <v>13</v>
      </c>
      <c r="L65" s="7"/>
      <c r="M65" s="7"/>
    </row>
    <row r="66" s="6" customFormat="1" ht="109.2" spans="1:13">
      <c r="A66" s="7">
        <v>65</v>
      </c>
      <c r="B66" s="26">
        <v>46013</v>
      </c>
      <c r="C66" s="8" t="s">
        <v>80</v>
      </c>
      <c r="D66" s="7" cm="1">
        <f t="array" ref="D66">SUM(VALUE(SUBSTITUTE(_xlfn.TEXTAFTER(_xlfn.TEXTSPLIT(C66,CHAR(10)),"-",-1),"km","")))</f>
        <v>250.3</v>
      </c>
      <c r="E66" s="9">
        <f t="shared" si="18"/>
        <v>3.94495412844037</v>
      </c>
      <c r="F66" s="9">
        <f t="shared" si="19"/>
        <v>4.3</v>
      </c>
      <c r="G66" s="9">
        <f t="shared" si="20"/>
        <v>987.422018348624</v>
      </c>
      <c r="H66" s="9">
        <f t="shared" si="21"/>
        <v>1076.29</v>
      </c>
      <c r="I66" s="9">
        <f t="shared" si="22"/>
        <v>3.5</v>
      </c>
      <c r="J66" s="9">
        <f t="shared" si="23"/>
        <v>876.05</v>
      </c>
      <c r="K66" s="7" t="s">
        <v>13</v>
      </c>
      <c r="L66" s="7"/>
      <c r="M66" s="7"/>
    </row>
    <row r="67" s="6" customFormat="1" ht="109.2" spans="1:13">
      <c r="A67" s="7">
        <v>66</v>
      </c>
      <c r="B67" s="26">
        <v>46013</v>
      </c>
      <c r="C67" s="8" t="s">
        <v>81</v>
      </c>
      <c r="D67" s="7" cm="1">
        <f t="array" ref="D67">SUM(VALUE(SUBSTITUTE(_xlfn.TEXTAFTER(_xlfn.TEXTSPLIT(C67,CHAR(10)),"-",-1),"km","")))</f>
        <v>407.1</v>
      </c>
      <c r="E67" s="9">
        <f t="shared" si="18"/>
        <v>3.76146788990826</v>
      </c>
      <c r="F67" s="9">
        <f t="shared" si="19"/>
        <v>4.1</v>
      </c>
      <c r="G67" s="9">
        <f t="shared" si="20"/>
        <v>1531.29357798165</v>
      </c>
      <c r="H67" s="9">
        <f t="shared" si="21"/>
        <v>1669.11</v>
      </c>
      <c r="I67" s="9">
        <f t="shared" si="22"/>
        <v>3.2</v>
      </c>
      <c r="J67" s="9">
        <f t="shared" si="23"/>
        <v>1302.72</v>
      </c>
      <c r="K67" s="7" t="s">
        <v>28</v>
      </c>
      <c r="L67" s="7"/>
      <c r="M67" s="7"/>
    </row>
    <row r="68" s="6" customFormat="1" ht="78" spans="1:13">
      <c r="A68" s="7">
        <v>67</v>
      </c>
      <c r="B68" s="26">
        <v>46014</v>
      </c>
      <c r="C68" s="8" t="s">
        <v>82</v>
      </c>
      <c r="D68" s="7" cm="1">
        <f t="array" ref="D68">SUM(VALUE(SUBSTITUTE(_xlfn.TEXTAFTER(_xlfn.TEXTSPLIT(C68,CHAR(10)),"-",-1),"km","")))</f>
        <v>341</v>
      </c>
      <c r="E68" s="9">
        <f t="shared" si="18"/>
        <v>3.76146788990826</v>
      </c>
      <c r="F68" s="9">
        <f t="shared" si="19"/>
        <v>4.1</v>
      </c>
      <c r="G68" s="9">
        <f t="shared" si="20"/>
        <v>1282.66055045872</v>
      </c>
      <c r="H68" s="9">
        <f t="shared" si="21"/>
        <v>1398.1</v>
      </c>
      <c r="I68" s="9">
        <f t="shared" si="22"/>
        <v>3.2</v>
      </c>
      <c r="J68" s="9">
        <f t="shared" si="23"/>
        <v>1091.2</v>
      </c>
      <c r="K68" s="7" t="s">
        <v>36</v>
      </c>
      <c r="L68" s="7"/>
      <c r="M68" s="7"/>
    </row>
    <row r="69" s="6" customFormat="1" ht="46.8" spans="1:13">
      <c r="A69" s="7">
        <v>68</v>
      </c>
      <c r="B69" s="26">
        <v>46014</v>
      </c>
      <c r="C69" s="8" t="s">
        <v>83</v>
      </c>
      <c r="D69" s="7" cm="1">
        <f t="array" ref="D69">SUM(VALUE(SUBSTITUTE(_xlfn.TEXTAFTER(_xlfn.TEXTSPLIT(C69,CHAR(10)),"-",-1),"km","")))</f>
        <v>210</v>
      </c>
      <c r="E69" s="9">
        <f t="shared" si="18"/>
        <v>3.94495412844037</v>
      </c>
      <c r="F69" s="9">
        <f t="shared" si="19"/>
        <v>4.3</v>
      </c>
      <c r="G69" s="9">
        <f t="shared" si="20"/>
        <v>828.440366972477</v>
      </c>
      <c r="H69" s="9">
        <f t="shared" si="21"/>
        <v>903</v>
      </c>
      <c r="I69" s="9">
        <f t="shared" si="22"/>
        <v>3.5</v>
      </c>
      <c r="J69" s="9">
        <f t="shared" si="23"/>
        <v>735</v>
      </c>
      <c r="K69" s="7" t="s">
        <v>18</v>
      </c>
      <c r="L69" s="7"/>
      <c r="M69" s="7"/>
    </row>
    <row r="70" s="6" customFormat="1" ht="109.2" spans="1:13">
      <c r="A70" s="7">
        <v>69</v>
      </c>
      <c r="B70" s="26">
        <v>46014</v>
      </c>
      <c r="C70" s="8" t="s">
        <v>84</v>
      </c>
      <c r="D70" s="7" cm="1">
        <f t="array" ref="D70">SUM(VALUE(SUBSTITUTE(_xlfn.TEXTAFTER(_xlfn.TEXTSPLIT(C70,CHAR(10)),"-",-1),"km","")))</f>
        <v>406.6</v>
      </c>
      <c r="E70" s="9">
        <f t="shared" si="18"/>
        <v>3.76146788990826</v>
      </c>
      <c r="F70" s="9">
        <f t="shared" si="19"/>
        <v>4.1</v>
      </c>
      <c r="G70" s="9">
        <f t="shared" si="20"/>
        <v>1529.4128440367</v>
      </c>
      <c r="H70" s="9">
        <f t="shared" si="21"/>
        <v>1667.06</v>
      </c>
      <c r="I70" s="9">
        <f t="shared" si="22"/>
        <v>3.2</v>
      </c>
      <c r="J70" s="9">
        <f t="shared" si="23"/>
        <v>1301.12</v>
      </c>
      <c r="K70" s="7" t="s">
        <v>28</v>
      </c>
      <c r="L70" s="7"/>
      <c r="M70" s="7"/>
    </row>
    <row r="71" s="6" customFormat="1" ht="78" spans="1:13">
      <c r="A71" s="7">
        <v>70</v>
      </c>
      <c r="B71" s="26">
        <v>46014</v>
      </c>
      <c r="C71" s="8" t="s">
        <v>85</v>
      </c>
      <c r="D71" s="7" cm="1">
        <f t="array" ref="D71">SUM(VALUE(SUBSTITUTE(_xlfn.TEXTAFTER(_xlfn.TEXTSPLIT(C71,CHAR(10)),"-",-1),"km","")))</f>
        <v>679</v>
      </c>
      <c r="E71" s="9">
        <f t="shared" si="18"/>
        <v>3.76146788990826</v>
      </c>
      <c r="F71" s="9">
        <f t="shared" si="19"/>
        <v>4.1</v>
      </c>
      <c r="G71" s="9">
        <f t="shared" si="20"/>
        <v>2554.03669724771</v>
      </c>
      <c r="H71" s="9">
        <f t="shared" si="21"/>
        <v>2783.9</v>
      </c>
      <c r="I71" s="9">
        <f t="shared" si="22"/>
        <v>3.2</v>
      </c>
      <c r="J71" s="9">
        <f t="shared" si="23"/>
        <v>2172.8</v>
      </c>
      <c r="K71" s="7" t="s">
        <v>13</v>
      </c>
      <c r="L71" s="7"/>
      <c r="M71" s="7"/>
    </row>
    <row r="72" s="6" customFormat="1" ht="156" spans="1:13">
      <c r="A72" s="7">
        <v>71</v>
      </c>
      <c r="B72" s="26">
        <v>46015</v>
      </c>
      <c r="C72" s="8" t="s">
        <v>86</v>
      </c>
      <c r="D72" s="7" cm="1">
        <f t="array" ref="D72">SUM(VALUE(SUBSTITUTE(_xlfn.TEXTAFTER(_xlfn.TEXTSPLIT(C72,CHAR(10)),"-",-1),"km","")))</f>
        <v>358.3</v>
      </c>
      <c r="E72" s="9">
        <f t="shared" si="18"/>
        <v>3.76146788990826</v>
      </c>
      <c r="F72" s="9">
        <f t="shared" si="19"/>
        <v>4.1</v>
      </c>
      <c r="G72" s="9">
        <f t="shared" si="20"/>
        <v>1347.73394495413</v>
      </c>
      <c r="H72" s="9">
        <f t="shared" si="21"/>
        <v>1469.03</v>
      </c>
      <c r="I72" s="9">
        <f t="shared" si="22"/>
        <v>3.2</v>
      </c>
      <c r="J72" s="9">
        <f t="shared" si="23"/>
        <v>1146.56</v>
      </c>
      <c r="K72" s="7" t="s">
        <v>18</v>
      </c>
      <c r="L72" s="7"/>
      <c r="M72" s="7"/>
    </row>
    <row r="73" s="6" customFormat="1" ht="93.6" spans="1:13">
      <c r="A73" s="7">
        <v>72</v>
      </c>
      <c r="B73" s="26">
        <v>46015</v>
      </c>
      <c r="C73" s="8" t="s">
        <v>87</v>
      </c>
      <c r="D73" s="7" cm="1">
        <f t="array" ref="D73">SUM(VALUE(SUBSTITUTE(_xlfn.TEXTAFTER(_xlfn.TEXTSPLIT(C73,CHAR(10)),"-",-1),"km","")))</f>
        <v>168.3</v>
      </c>
      <c r="E73" s="9">
        <f t="shared" si="18"/>
        <v>4.12844036697248</v>
      </c>
      <c r="F73" s="9">
        <f t="shared" si="19"/>
        <v>4.5</v>
      </c>
      <c r="G73" s="9">
        <f t="shared" si="20"/>
        <v>694.816513761468</v>
      </c>
      <c r="H73" s="9">
        <f t="shared" si="21"/>
        <v>757.35</v>
      </c>
      <c r="I73" s="9">
        <f t="shared" si="22"/>
        <v>3.5</v>
      </c>
      <c r="J73" s="9">
        <f t="shared" si="23"/>
        <v>589.05</v>
      </c>
      <c r="K73" s="7" t="s">
        <v>22</v>
      </c>
      <c r="L73" s="7"/>
      <c r="M73" s="7"/>
    </row>
    <row r="74" s="6" customFormat="1" ht="156" spans="1:13">
      <c r="A74" s="7">
        <v>73</v>
      </c>
      <c r="B74" s="26">
        <v>46015</v>
      </c>
      <c r="C74" s="8" t="s">
        <v>88</v>
      </c>
      <c r="D74" s="7" cm="1">
        <f t="array" ref="D74">SUM(VALUE(SUBSTITUTE(_xlfn.TEXTAFTER(_xlfn.TEXTSPLIT(C74,CHAR(10)),"-",-1),"km","")))</f>
        <v>326.4</v>
      </c>
      <c r="E74" s="9">
        <f t="shared" si="18"/>
        <v>3.76146788990826</v>
      </c>
      <c r="F74" s="9">
        <f t="shared" si="19"/>
        <v>4.1</v>
      </c>
      <c r="G74" s="9">
        <f t="shared" si="20"/>
        <v>1227.74311926605</v>
      </c>
      <c r="H74" s="9">
        <f t="shared" si="21"/>
        <v>1338.24</v>
      </c>
      <c r="I74" s="9">
        <f t="shared" si="22"/>
        <v>3.2</v>
      </c>
      <c r="J74" s="9">
        <f t="shared" si="23"/>
        <v>1044.48</v>
      </c>
      <c r="K74" s="7" t="s">
        <v>36</v>
      </c>
      <c r="L74" s="7"/>
      <c r="M74" s="7"/>
    </row>
    <row r="75" s="6" customFormat="1" ht="156" spans="1:13">
      <c r="A75" s="7">
        <v>74</v>
      </c>
      <c r="B75" s="26">
        <v>46016</v>
      </c>
      <c r="C75" s="8" t="s">
        <v>89</v>
      </c>
      <c r="D75" s="7" cm="1">
        <f t="array" ref="D75">SUM(VALUE(SUBSTITUTE(_xlfn.TEXTAFTER(_xlfn.TEXTSPLIT(C75,CHAR(10)),"-",-1),"km","")))</f>
        <v>669</v>
      </c>
      <c r="E75" s="9">
        <f t="shared" si="18"/>
        <v>3.76146788990826</v>
      </c>
      <c r="F75" s="9">
        <f t="shared" si="19"/>
        <v>4.1</v>
      </c>
      <c r="G75" s="9">
        <f t="shared" si="20"/>
        <v>2516.42201834862</v>
      </c>
      <c r="H75" s="9">
        <f t="shared" si="21"/>
        <v>2742.9</v>
      </c>
      <c r="I75" s="9">
        <f t="shared" si="22"/>
        <v>3.2</v>
      </c>
      <c r="J75" s="9">
        <f t="shared" si="23"/>
        <v>2140.8</v>
      </c>
      <c r="K75" s="7" t="s">
        <v>36</v>
      </c>
      <c r="L75" s="7"/>
      <c r="M75" s="7"/>
    </row>
    <row r="76" s="6" customFormat="1" ht="90" customHeight="1" spans="1:13">
      <c r="A76" s="7">
        <v>75</v>
      </c>
      <c r="B76" s="26">
        <v>46016</v>
      </c>
      <c r="C76" s="8" t="s">
        <v>90</v>
      </c>
      <c r="D76" s="7" cm="1">
        <f t="array" ref="D76">SUM(VALUE(SUBSTITUTE(_xlfn.TEXTAFTER(_xlfn.TEXTSPLIT(C76,CHAR(10)),"-",-1),"km","")))</f>
        <v>308</v>
      </c>
      <c r="E76" s="9">
        <f t="shared" si="18"/>
        <v>3.76146788990826</v>
      </c>
      <c r="F76" s="9">
        <f t="shared" si="19"/>
        <v>4.1</v>
      </c>
      <c r="G76" s="9">
        <f t="shared" si="20"/>
        <v>1158.53211009174</v>
      </c>
      <c r="H76" s="9">
        <f t="shared" si="21"/>
        <v>1262.8</v>
      </c>
      <c r="I76" s="9">
        <f t="shared" si="22"/>
        <v>3.2</v>
      </c>
      <c r="J76" s="9">
        <f t="shared" si="23"/>
        <v>985.6</v>
      </c>
      <c r="K76" s="7" t="s">
        <v>18</v>
      </c>
      <c r="L76" s="7"/>
      <c r="M76" s="7"/>
    </row>
    <row r="77" s="6" customFormat="1" ht="104" customHeight="1" spans="1:13">
      <c r="A77" s="7">
        <v>74</v>
      </c>
      <c r="B77" s="26">
        <v>46016</v>
      </c>
      <c r="C77" s="8" t="s">
        <v>91</v>
      </c>
      <c r="D77" s="7" cm="1">
        <f t="array" ref="D77">SUM(VALUE(SUBSTITUTE(_xlfn.TEXTAFTER(_xlfn.TEXTSPLIT(C77,CHAR(10)),"-",-1),"km","")))</f>
        <v>309.8</v>
      </c>
      <c r="E77" s="9">
        <f t="shared" si="18"/>
        <v>3.76146788990826</v>
      </c>
      <c r="F77" s="9">
        <f t="shared" si="19"/>
        <v>4.1</v>
      </c>
      <c r="G77" s="9">
        <f t="shared" si="20"/>
        <v>1165.30275229358</v>
      </c>
      <c r="H77" s="9">
        <f t="shared" si="21"/>
        <v>1270.18</v>
      </c>
      <c r="I77" s="9">
        <f t="shared" si="22"/>
        <v>3.2</v>
      </c>
      <c r="J77" s="9">
        <f t="shared" si="23"/>
        <v>991.36</v>
      </c>
      <c r="K77" s="7" t="s">
        <v>28</v>
      </c>
      <c r="L77" s="7"/>
      <c r="M77" s="7"/>
    </row>
    <row r="78" s="6" customFormat="1" ht="109.2" spans="1:13">
      <c r="A78" s="7">
        <v>75</v>
      </c>
      <c r="B78" s="26">
        <v>46017</v>
      </c>
      <c r="C78" s="8" t="s">
        <v>92</v>
      </c>
      <c r="D78" s="7" cm="1">
        <f t="array" ref="D78">SUM(VALUE(SUBSTITUTE(_xlfn.TEXTAFTER(_xlfn.TEXTSPLIT(C78,CHAR(10)),"-",-1),"km","")))</f>
        <v>280.1</v>
      </c>
      <c r="E78" s="9">
        <f t="shared" si="18"/>
        <v>3.94495412844037</v>
      </c>
      <c r="F78" s="9">
        <f t="shared" si="19"/>
        <v>4.3</v>
      </c>
      <c r="G78" s="9">
        <f t="shared" si="20"/>
        <v>1104.98165137615</v>
      </c>
      <c r="H78" s="9">
        <f t="shared" si="21"/>
        <v>1204.43</v>
      </c>
      <c r="I78" s="9">
        <f t="shared" si="22"/>
        <v>3.5</v>
      </c>
      <c r="J78" s="9">
        <f t="shared" si="23"/>
        <v>980.35</v>
      </c>
      <c r="K78" s="7"/>
      <c r="L78" s="7"/>
      <c r="M78" s="7"/>
    </row>
    <row r="79" s="6" customFormat="1" ht="93.6" spans="1:13">
      <c r="A79" s="7">
        <v>76</v>
      </c>
      <c r="B79" s="26">
        <v>46017</v>
      </c>
      <c r="C79" s="8" t="s">
        <v>93</v>
      </c>
      <c r="D79" s="7" cm="1">
        <f t="array" ref="D79">SUM(VALUE(SUBSTITUTE(_xlfn.TEXTAFTER(_xlfn.TEXTSPLIT(C79,CHAR(10)),"-",-1),"km","")))</f>
        <v>238</v>
      </c>
      <c r="E79" s="9">
        <f t="shared" si="18"/>
        <v>3.94495412844037</v>
      </c>
      <c r="F79" s="9">
        <f t="shared" si="19"/>
        <v>4.3</v>
      </c>
      <c r="G79" s="9">
        <f t="shared" si="20"/>
        <v>938.899082568807</v>
      </c>
      <c r="H79" s="9">
        <f t="shared" si="21"/>
        <v>1023.4</v>
      </c>
      <c r="I79" s="9">
        <f t="shared" si="22"/>
        <v>3.5</v>
      </c>
      <c r="J79" s="9">
        <f t="shared" si="23"/>
        <v>833</v>
      </c>
      <c r="K79" s="7"/>
      <c r="L79" s="7"/>
      <c r="M79" s="7"/>
    </row>
    <row r="80" s="6" customFormat="1" ht="109.2" spans="1:13">
      <c r="A80" s="7">
        <v>77</v>
      </c>
      <c r="B80" s="26">
        <v>46017</v>
      </c>
      <c r="C80" s="8" t="s">
        <v>94</v>
      </c>
      <c r="D80" s="7" cm="1">
        <f t="array" ref="D80">SUM(VALUE(SUBSTITUTE(_xlfn.TEXTAFTER(_xlfn.TEXTSPLIT(C80,CHAR(10)),"-",-1),"km","")))</f>
        <v>203.9</v>
      </c>
      <c r="E80" s="9">
        <f t="shared" si="18"/>
        <v>3.94495412844037</v>
      </c>
      <c r="F80" s="9">
        <f t="shared" si="19"/>
        <v>4.3</v>
      </c>
      <c r="G80" s="9">
        <f t="shared" si="20"/>
        <v>804.376146788991</v>
      </c>
      <c r="H80" s="9">
        <f t="shared" si="21"/>
        <v>876.77</v>
      </c>
      <c r="I80" s="9">
        <f t="shared" si="22"/>
        <v>3.5</v>
      </c>
      <c r="J80" s="9">
        <f t="shared" si="23"/>
        <v>713.65</v>
      </c>
      <c r="K80" s="7"/>
      <c r="L80" s="7"/>
      <c r="M80" s="7"/>
    </row>
    <row r="81" s="6" customFormat="1" ht="129.6" spans="1:13">
      <c r="A81" s="7">
        <v>78</v>
      </c>
      <c r="B81" s="26">
        <v>46018</v>
      </c>
      <c r="C81" s="29" t="s">
        <v>95</v>
      </c>
      <c r="D81" s="7" cm="1">
        <f t="array" ref="D81">SUM(VALUE(SUBSTITUTE(_xlfn.TEXTAFTER(_xlfn.TEXTSPLIT(C81,CHAR(10)),"-",-1),"km","")))</f>
        <v>518.4</v>
      </c>
      <c r="E81" s="9">
        <f t="shared" ref="E81:E106" si="24">F81/1.09</f>
        <v>3.76146788990826</v>
      </c>
      <c r="F81" s="9">
        <f t="shared" ref="F81:F109" si="25">IF(D81&gt;=301,4.1,IF(D81&gt;=201,4.3,IF(D81&gt;=101,4.5,"")))</f>
        <v>4.1</v>
      </c>
      <c r="G81" s="9">
        <f t="shared" ref="G81:G106" si="26">D81*E81</f>
        <v>1949.94495412844</v>
      </c>
      <c r="H81" s="9">
        <f t="shared" ref="H81:H106" si="27">D81*F81</f>
        <v>2125.44</v>
      </c>
      <c r="I81" s="9">
        <f t="shared" ref="I81:I109" si="28">IF(D81&gt;=301,3.2,IF(D81&gt;=201,3.5,IF(D81&gt;=101,3.5,"")))</f>
        <v>3.2</v>
      </c>
      <c r="J81" s="9">
        <f t="shared" ref="J81:J106" si="29">D81*I81</f>
        <v>1658.88</v>
      </c>
      <c r="K81" s="7"/>
      <c r="L81" s="7"/>
      <c r="M81" s="7"/>
    </row>
    <row r="82" s="6" customFormat="1" ht="93.6" spans="1:13">
      <c r="A82" s="7">
        <v>79</v>
      </c>
      <c r="B82" s="26">
        <v>46018</v>
      </c>
      <c r="C82" s="30" t="s">
        <v>96</v>
      </c>
      <c r="D82" s="7" cm="1">
        <f t="array" ref="D82">SUM(VALUE(SUBSTITUTE(_xlfn.TEXTAFTER(_xlfn.TEXTSPLIT(C82,CHAR(10)),"-",-1),"km","")))</f>
        <v>350</v>
      </c>
      <c r="E82" s="9">
        <f t="shared" si="24"/>
        <v>3.76146788990826</v>
      </c>
      <c r="F82" s="9">
        <f t="shared" si="25"/>
        <v>4.1</v>
      </c>
      <c r="G82" s="9">
        <f t="shared" si="26"/>
        <v>1316.51376146789</v>
      </c>
      <c r="H82" s="9">
        <f t="shared" si="27"/>
        <v>1435</v>
      </c>
      <c r="I82" s="9">
        <f t="shared" si="28"/>
        <v>3.2</v>
      </c>
      <c r="J82" s="9">
        <f t="shared" si="29"/>
        <v>1120</v>
      </c>
      <c r="K82" s="7"/>
      <c r="L82" s="7"/>
      <c r="M82" s="7"/>
    </row>
    <row r="83" s="6" customFormat="1" ht="93.6" spans="1:13">
      <c r="A83" s="7">
        <v>80</v>
      </c>
      <c r="B83" s="26">
        <v>46019</v>
      </c>
      <c r="C83" s="8" t="s">
        <v>97</v>
      </c>
      <c r="D83" s="7" cm="1">
        <f t="array" ref="D83">SUM(VALUE(SUBSTITUTE(_xlfn.TEXTAFTER(_xlfn.TEXTSPLIT(C83,CHAR(10)),"-",-1),"km","")))</f>
        <v>198.9</v>
      </c>
      <c r="E83" s="9">
        <f t="shared" si="24"/>
        <v>4.12844036697248</v>
      </c>
      <c r="F83" s="9">
        <f t="shared" si="25"/>
        <v>4.5</v>
      </c>
      <c r="G83" s="9">
        <f t="shared" si="26"/>
        <v>821.146788990826</v>
      </c>
      <c r="H83" s="9">
        <f t="shared" si="27"/>
        <v>895.05</v>
      </c>
      <c r="I83" s="9">
        <f t="shared" si="28"/>
        <v>3.5</v>
      </c>
      <c r="J83" s="9">
        <f t="shared" si="29"/>
        <v>696.15</v>
      </c>
      <c r="K83" s="7"/>
      <c r="L83" s="7"/>
      <c r="M83" s="7"/>
    </row>
    <row r="84" s="6" customFormat="1" ht="78" spans="1:13">
      <c r="A84" s="7">
        <v>81</v>
      </c>
      <c r="B84" s="26">
        <v>46020</v>
      </c>
      <c r="C84" s="8" t="s">
        <v>98</v>
      </c>
      <c r="D84" s="7" cm="1">
        <f t="array" ref="D84">SUM(VALUE(SUBSTITUTE(_xlfn.TEXTAFTER(_xlfn.TEXTSPLIT(C84,CHAR(10)),"-",-1),"km","")))</f>
        <v>210</v>
      </c>
      <c r="E84" s="9">
        <f t="shared" si="24"/>
        <v>3.94495412844037</v>
      </c>
      <c r="F84" s="9">
        <f t="shared" si="25"/>
        <v>4.3</v>
      </c>
      <c r="G84" s="9">
        <f t="shared" si="26"/>
        <v>828.440366972477</v>
      </c>
      <c r="H84" s="9">
        <f t="shared" si="27"/>
        <v>903</v>
      </c>
      <c r="I84" s="9">
        <f t="shared" si="28"/>
        <v>3.5</v>
      </c>
      <c r="J84" s="9">
        <f t="shared" si="29"/>
        <v>735</v>
      </c>
      <c r="K84" s="7"/>
      <c r="L84" s="7"/>
      <c r="M84" s="7"/>
    </row>
    <row r="85" s="6" customFormat="1" ht="62.4" spans="1:13">
      <c r="A85" s="7">
        <v>82</v>
      </c>
      <c r="B85" s="26">
        <v>46020</v>
      </c>
      <c r="C85" s="8" t="s">
        <v>99</v>
      </c>
      <c r="D85" s="7" cm="1">
        <f t="array" ref="D85">SUM(VALUE(SUBSTITUTE(_xlfn.TEXTAFTER(_xlfn.TEXTSPLIT(C85,CHAR(10)),"-",-1),"km","")))</f>
        <v>105</v>
      </c>
      <c r="E85" s="9">
        <f t="shared" si="24"/>
        <v>4.12844036697248</v>
      </c>
      <c r="F85" s="9">
        <f t="shared" si="25"/>
        <v>4.5</v>
      </c>
      <c r="G85" s="9">
        <f t="shared" si="26"/>
        <v>433.48623853211</v>
      </c>
      <c r="H85" s="9">
        <f t="shared" si="27"/>
        <v>472.5</v>
      </c>
      <c r="I85" s="9">
        <f t="shared" si="28"/>
        <v>3.5</v>
      </c>
      <c r="J85" s="9">
        <f t="shared" si="29"/>
        <v>367.5</v>
      </c>
      <c r="K85" s="7"/>
      <c r="L85" s="7"/>
      <c r="M85" s="7"/>
    </row>
    <row r="86" s="6" customFormat="1" ht="93.6" spans="1:13">
      <c r="A86" s="7">
        <v>83</v>
      </c>
      <c r="B86" s="26">
        <v>46020</v>
      </c>
      <c r="C86" s="8" t="s">
        <v>100</v>
      </c>
      <c r="D86" s="7" cm="1">
        <f t="array" ref="D86">SUM(VALUE(SUBSTITUTE(_xlfn.TEXTAFTER(_xlfn.TEXTSPLIT(C86,CHAR(10)),"-",-1),"km","")))</f>
        <v>259</v>
      </c>
      <c r="E86" s="9">
        <f t="shared" si="24"/>
        <v>3.94495412844037</v>
      </c>
      <c r="F86" s="9">
        <f t="shared" si="25"/>
        <v>4.3</v>
      </c>
      <c r="G86" s="9">
        <f t="shared" si="26"/>
        <v>1021.74311926605</v>
      </c>
      <c r="H86" s="9">
        <f t="shared" si="27"/>
        <v>1113.7</v>
      </c>
      <c r="I86" s="9">
        <f t="shared" si="28"/>
        <v>3.5</v>
      </c>
      <c r="J86" s="9">
        <f t="shared" si="29"/>
        <v>906.5</v>
      </c>
      <c r="K86" s="7"/>
      <c r="L86" s="7"/>
      <c r="M86" s="7"/>
    </row>
    <row r="87" s="6" customFormat="1" ht="19" customHeight="1" spans="1:13">
      <c r="A87" s="7">
        <v>84</v>
      </c>
      <c r="B87" s="26"/>
      <c r="C87" s="8"/>
      <c r="D87" s="7" t="e" cm="1">
        <f t="array" ref="D87">SUM(VALUE(SUBSTITUTE(_xlfn.TEXTAFTER(_xlfn.TEXTSPLIT(C87,CHAR(10)),"-",-1),"km","")))</f>
        <v>#VALUE!</v>
      </c>
      <c r="E87" s="9" t="e">
        <f t="shared" si="24"/>
        <v>#VALUE!</v>
      </c>
      <c r="F87" s="9" t="e">
        <f t="shared" si="25"/>
        <v>#VALUE!</v>
      </c>
      <c r="G87" s="9" t="e">
        <f t="shared" si="26"/>
        <v>#VALUE!</v>
      </c>
      <c r="H87" s="9" t="e">
        <f t="shared" si="27"/>
        <v>#VALUE!</v>
      </c>
      <c r="I87" s="9" t="e">
        <f t="shared" si="28"/>
        <v>#VALUE!</v>
      </c>
      <c r="J87" s="9" t="e">
        <f t="shared" si="29"/>
        <v>#VALUE!</v>
      </c>
      <c r="K87" s="7"/>
      <c r="L87" s="7"/>
      <c r="M87" s="7"/>
    </row>
    <row r="88" s="6" customFormat="1" spans="1:13">
      <c r="A88" s="7">
        <v>85</v>
      </c>
      <c r="B88" s="26"/>
      <c r="C88" s="8"/>
      <c r="D88" s="7" t="e" cm="1">
        <f t="array" ref="D88">SUM(VALUE(SUBSTITUTE(_xlfn.TEXTAFTER(_xlfn.TEXTSPLIT(C88,CHAR(10)),"-",-1),"km","")))</f>
        <v>#VALUE!</v>
      </c>
      <c r="E88" s="9" t="e">
        <f t="shared" si="24"/>
        <v>#VALUE!</v>
      </c>
      <c r="F88" s="9" t="e">
        <f t="shared" si="25"/>
        <v>#VALUE!</v>
      </c>
      <c r="G88" s="9" t="e">
        <f t="shared" si="26"/>
        <v>#VALUE!</v>
      </c>
      <c r="H88" s="9" t="e">
        <f t="shared" si="27"/>
        <v>#VALUE!</v>
      </c>
      <c r="I88" s="9" t="e">
        <f t="shared" si="28"/>
        <v>#VALUE!</v>
      </c>
      <c r="J88" s="9" t="e">
        <f t="shared" si="29"/>
        <v>#VALUE!</v>
      </c>
      <c r="K88" s="7"/>
      <c r="L88" s="7"/>
      <c r="M88" s="7"/>
    </row>
    <row r="89" s="6" customFormat="1" spans="1:13">
      <c r="A89" s="7">
        <v>86</v>
      </c>
      <c r="B89" s="26"/>
      <c r="C89" s="8"/>
      <c r="D89" s="7" t="e" cm="1">
        <f t="array" ref="D89">SUM(VALUE(SUBSTITUTE(_xlfn.TEXTAFTER(_xlfn.TEXTSPLIT(C89,CHAR(10)),"-",-1),"km","")))</f>
        <v>#VALUE!</v>
      </c>
      <c r="E89" s="9" t="e">
        <f t="shared" si="24"/>
        <v>#VALUE!</v>
      </c>
      <c r="F89" s="9" t="e">
        <f t="shared" si="25"/>
        <v>#VALUE!</v>
      </c>
      <c r="G89" s="9" t="e">
        <f t="shared" si="26"/>
        <v>#VALUE!</v>
      </c>
      <c r="H89" s="9" t="e">
        <f t="shared" si="27"/>
        <v>#VALUE!</v>
      </c>
      <c r="I89" s="9" t="e">
        <f t="shared" si="28"/>
        <v>#VALUE!</v>
      </c>
      <c r="J89" s="9" t="e">
        <f t="shared" si="29"/>
        <v>#VALUE!</v>
      </c>
      <c r="K89" s="7"/>
      <c r="L89" s="7"/>
      <c r="M89" s="7"/>
    </row>
    <row r="90" s="6" customFormat="1" spans="1:13">
      <c r="A90" s="7">
        <v>87</v>
      </c>
      <c r="B90" s="26"/>
      <c r="C90" s="8"/>
      <c r="D90" s="7" t="e" cm="1">
        <f t="array" ref="D90">SUM(VALUE(SUBSTITUTE(_xlfn.TEXTAFTER(_xlfn.TEXTSPLIT(C90,CHAR(10)),"-",-1),"km","")))</f>
        <v>#VALUE!</v>
      </c>
      <c r="E90" s="9" t="e">
        <f t="shared" si="24"/>
        <v>#VALUE!</v>
      </c>
      <c r="F90" s="9" t="e">
        <f t="shared" si="25"/>
        <v>#VALUE!</v>
      </c>
      <c r="G90" s="9" t="e">
        <f t="shared" si="26"/>
        <v>#VALUE!</v>
      </c>
      <c r="H90" s="9" t="e">
        <f t="shared" si="27"/>
        <v>#VALUE!</v>
      </c>
      <c r="I90" s="9" t="e">
        <f t="shared" si="28"/>
        <v>#VALUE!</v>
      </c>
      <c r="J90" s="9" t="e">
        <f t="shared" si="29"/>
        <v>#VALUE!</v>
      </c>
      <c r="K90" s="7"/>
      <c r="L90" s="7"/>
      <c r="M90" s="7"/>
    </row>
    <row r="91" s="6" customFormat="1" spans="1:13">
      <c r="A91" s="7">
        <v>88</v>
      </c>
      <c r="B91" s="26"/>
      <c r="C91" s="8"/>
      <c r="D91" s="7" t="e" cm="1">
        <f t="array" ref="D91">SUM(VALUE(SUBSTITUTE(_xlfn.TEXTAFTER(_xlfn.TEXTSPLIT(C91,CHAR(10)),"-",-1),"km","")))</f>
        <v>#VALUE!</v>
      </c>
      <c r="E91" s="9" t="e">
        <f t="shared" si="24"/>
        <v>#VALUE!</v>
      </c>
      <c r="F91" s="9" t="e">
        <f t="shared" si="25"/>
        <v>#VALUE!</v>
      </c>
      <c r="G91" s="9" t="e">
        <f t="shared" si="26"/>
        <v>#VALUE!</v>
      </c>
      <c r="H91" s="9" t="e">
        <f t="shared" si="27"/>
        <v>#VALUE!</v>
      </c>
      <c r="I91" s="9" t="e">
        <f t="shared" si="28"/>
        <v>#VALUE!</v>
      </c>
      <c r="J91" s="9" t="e">
        <f t="shared" si="29"/>
        <v>#VALUE!</v>
      </c>
      <c r="K91" s="7"/>
      <c r="L91" s="7"/>
      <c r="M91" s="7"/>
    </row>
    <row r="92" s="6" customFormat="1" spans="1:13">
      <c r="A92" s="7">
        <v>89</v>
      </c>
      <c r="B92" s="26"/>
      <c r="C92" s="8"/>
      <c r="D92" s="7" t="e" cm="1">
        <f t="array" ref="D92">SUM(VALUE(SUBSTITUTE(_xlfn.TEXTAFTER(_xlfn.TEXTSPLIT(C92,CHAR(10)),"-",-1),"km","")))</f>
        <v>#VALUE!</v>
      </c>
      <c r="E92" s="9" t="e">
        <f t="shared" si="24"/>
        <v>#VALUE!</v>
      </c>
      <c r="F92" s="9" t="e">
        <f t="shared" si="25"/>
        <v>#VALUE!</v>
      </c>
      <c r="G92" s="9" t="e">
        <f t="shared" si="26"/>
        <v>#VALUE!</v>
      </c>
      <c r="H92" s="9" t="e">
        <f t="shared" si="27"/>
        <v>#VALUE!</v>
      </c>
      <c r="I92" s="9" t="e">
        <f t="shared" si="28"/>
        <v>#VALUE!</v>
      </c>
      <c r="J92" s="9" t="e">
        <f t="shared" si="29"/>
        <v>#VALUE!</v>
      </c>
      <c r="K92" s="7"/>
      <c r="L92" s="7"/>
      <c r="M92" s="7"/>
    </row>
    <row r="93" s="6" customFormat="1" spans="1:13">
      <c r="A93" s="7">
        <v>90</v>
      </c>
      <c r="B93" s="26"/>
      <c r="C93" s="8"/>
      <c r="D93" s="7" t="e" cm="1">
        <f t="array" ref="D93">SUM(VALUE(SUBSTITUTE(_xlfn.TEXTAFTER(_xlfn.TEXTSPLIT(C93,CHAR(10)),"-",-1),"km","")))</f>
        <v>#VALUE!</v>
      </c>
      <c r="E93" s="9" t="e">
        <f t="shared" si="24"/>
        <v>#VALUE!</v>
      </c>
      <c r="F93" s="9" t="e">
        <f t="shared" si="25"/>
        <v>#VALUE!</v>
      </c>
      <c r="G93" s="9" t="e">
        <f t="shared" si="26"/>
        <v>#VALUE!</v>
      </c>
      <c r="H93" s="9" t="e">
        <f t="shared" si="27"/>
        <v>#VALUE!</v>
      </c>
      <c r="I93" s="9" t="e">
        <f t="shared" si="28"/>
        <v>#VALUE!</v>
      </c>
      <c r="J93" s="9" t="e">
        <f t="shared" si="29"/>
        <v>#VALUE!</v>
      </c>
      <c r="K93" s="7"/>
      <c r="L93" s="7"/>
      <c r="M93" s="7"/>
    </row>
    <row r="94" s="6" customFormat="1" spans="1:13">
      <c r="A94" s="7">
        <v>91</v>
      </c>
      <c r="B94" s="26"/>
      <c r="C94" s="8"/>
      <c r="D94" s="7" t="e" cm="1">
        <f t="array" ref="D94">SUM(VALUE(SUBSTITUTE(_xlfn.TEXTAFTER(_xlfn.TEXTSPLIT(C94,CHAR(10)),"-",-1),"km","")))</f>
        <v>#VALUE!</v>
      </c>
      <c r="E94" s="9" t="e">
        <f t="shared" si="24"/>
        <v>#VALUE!</v>
      </c>
      <c r="F94" s="9" t="e">
        <f t="shared" si="25"/>
        <v>#VALUE!</v>
      </c>
      <c r="G94" s="9" t="e">
        <f t="shared" si="26"/>
        <v>#VALUE!</v>
      </c>
      <c r="H94" s="9" t="e">
        <f t="shared" si="27"/>
        <v>#VALUE!</v>
      </c>
      <c r="I94" s="9" t="e">
        <f t="shared" si="28"/>
        <v>#VALUE!</v>
      </c>
      <c r="J94" s="9" t="e">
        <f t="shared" si="29"/>
        <v>#VALUE!</v>
      </c>
      <c r="K94" s="7"/>
      <c r="L94" s="7"/>
      <c r="M94" s="7"/>
    </row>
    <row r="95" s="6" customFormat="1" spans="1:13">
      <c r="A95" s="7">
        <v>92</v>
      </c>
      <c r="B95" s="26"/>
      <c r="C95" s="8"/>
      <c r="D95" s="7" t="e" cm="1">
        <f t="array" ref="D95">SUM(VALUE(SUBSTITUTE(_xlfn.TEXTAFTER(_xlfn.TEXTSPLIT(C95,CHAR(10)),"-",-1),"km","")))</f>
        <v>#VALUE!</v>
      </c>
      <c r="E95" s="9" t="e">
        <f t="shared" si="24"/>
        <v>#VALUE!</v>
      </c>
      <c r="F95" s="9" t="e">
        <f t="shared" si="25"/>
        <v>#VALUE!</v>
      </c>
      <c r="G95" s="9" t="e">
        <f t="shared" si="26"/>
        <v>#VALUE!</v>
      </c>
      <c r="H95" s="9" t="e">
        <f t="shared" si="27"/>
        <v>#VALUE!</v>
      </c>
      <c r="I95" s="9" t="e">
        <f t="shared" si="28"/>
        <v>#VALUE!</v>
      </c>
      <c r="J95" s="9" t="e">
        <f t="shared" si="29"/>
        <v>#VALUE!</v>
      </c>
      <c r="K95" s="7"/>
      <c r="L95" s="7"/>
      <c r="M95" s="7"/>
    </row>
    <row r="96" s="6" customFormat="1" spans="1:13">
      <c r="A96" s="7">
        <v>93</v>
      </c>
      <c r="B96" s="26"/>
      <c r="C96" s="8"/>
      <c r="D96" s="7" t="e" cm="1">
        <f t="array" ref="D96">SUM(VALUE(SUBSTITUTE(_xlfn.TEXTAFTER(_xlfn.TEXTSPLIT(C96,CHAR(10)),"-",-1),"km","")))</f>
        <v>#VALUE!</v>
      </c>
      <c r="E96" s="9" t="e">
        <f t="shared" si="24"/>
        <v>#VALUE!</v>
      </c>
      <c r="F96" s="9" t="e">
        <f t="shared" si="25"/>
        <v>#VALUE!</v>
      </c>
      <c r="G96" s="9" t="e">
        <f t="shared" si="26"/>
        <v>#VALUE!</v>
      </c>
      <c r="H96" s="9" t="e">
        <f t="shared" si="27"/>
        <v>#VALUE!</v>
      </c>
      <c r="I96" s="9" t="e">
        <f t="shared" si="28"/>
        <v>#VALUE!</v>
      </c>
      <c r="J96" s="9" t="e">
        <f t="shared" si="29"/>
        <v>#VALUE!</v>
      </c>
      <c r="K96" s="7"/>
      <c r="L96" s="7"/>
      <c r="M96" s="7"/>
    </row>
    <row r="97" s="6" customFormat="1" spans="1:13">
      <c r="A97" s="7">
        <v>94</v>
      </c>
      <c r="B97" s="26"/>
      <c r="C97" s="8"/>
      <c r="D97" s="7" t="e" cm="1">
        <f t="array" ref="D97">SUM(VALUE(SUBSTITUTE(_xlfn.TEXTAFTER(_xlfn.TEXTSPLIT(C97,CHAR(10)),"-",-1),"km","")))</f>
        <v>#VALUE!</v>
      </c>
      <c r="E97" s="9" t="e">
        <f t="shared" si="24"/>
        <v>#VALUE!</v>
      </c>
      <c r="F97" s="9" t="e">
        <f t="shared" si="25"/>
        <v>#VALUE!</v>
      </c>
      <c r="G97" s="9" t="e">
        <f t="shared" si="26"/>
        <v>#VALUE!</v>
      </c>
      <c r="H97" s="9" t="e">
        <f t="shared" si="27"/>
        <v>#VALUE!</v>
      </c>
      <c r="I97" s="9" t="e">
        <f t="shared" si="28"/>
        <v>#VALUE!</v>
      </c>
      <c r="J97" s="9" t="e">
        <f t="shared" si="29"/>
        <v>#VALUE!</v>
      </c>
      <c r="K97" s="7"/>
      <c r="L97" s="7"/>
      <c r="M97" s="7"/>
    </row>
    <row r="98" s="6" customFormat="1" spans="1:13">
      <c r="A98" s="7">
        <v>95</v>
      </c>
      <c r="B98" s="26"/>
      <c r="C98" s="8"/>
      <c r="D98" s="7" t="e" cm="1">
        <f t="array" ref="D98">SUM(VALUE(SUBSTITUTE(_xlfn.TEXTAFTER(_xlfn.TEXTSPLIT(C98,CHAR(10)),"-",-1),"km","")))</f>
        <v>#VALUE!</v>
      </c>
      <c r="E98" s="9" t="e">
        <f t="shared" si="24"/>
        <v>#VALUE!</v>
      </c>
      <c r="F98" s="9" t="e">
        <f t="shared" si="25"/>
        <v>#VALUE!</v>
      </c>
      <c r="G98" s="9" t="e">
        <f t="shared" si="26"/>
        <v>#VALUE!</v>
      </c>
      <c r="H98" s="9" t="e">
        <f t="shared" si="27"/>
        <v>#VALUE!</v>
      </c>
      <c r="I98" s="9" t="e">
        <f t="shared" si="28"/>
        <v>#VALUE!</v>
      </c>
      <c r="J98" s="9" t="e">
        <f t="shared" si="29"/>
        <v>#VALUE!</v>
      </c>
      <c r="K98" s="7"/>
      <c r="L98" s="7"/>
      <c r="M98" s="7"/>
    </row>
    <row r="99" s="6" customFormat="1" spans="1:13">
      <c r="A99" s="7">
        <v>96</v>
      </c>
      <c r="B99" s="26"/>
      <c r="C99" s="8"/>
      <c r="D99" s="7" t="e" cm="1">
        <f t="array" ref="D99">SUM(VALUE(SUBSTITUTE(_xlfn.TEXTAFTER(_xlfn.TEXTSPLIT(C99,CHAR(10)),"-",-1),"km","")))</f>
        <v>#VALUE!</v>
      </c>
      <c r="E99" s="9" t="e">
        <f t="shared" si="24"/>
        <v>#VALUE!</v>
      </c>
      <c r="F99" s="9" t="e">
        <f t="shared" si="25"/>
        <v>#VALUE!</v>
      </c>
      <c r="G99" s="9" t="e">
        <f t="shared" si="26"/>
        <v>#VALUE!</v>
      </c>
      <c r="H99" s="9" t="e">
        <f t="shared" si="27"/>
        <v>#VALUE!</v>
      </c>
      <c r="I99" s="9" t="e">
        <f t="shared" si="28"/>
        <v>#VALUE!</v>
      </c>
      <c r="J99" s="9" t="e">
        <f t="shared" si="29"/>
        <v>#VALUE!</v>
      </c>
      <c r="K99" s="7"/>
      <c r="L99" s="7"/>
      <c r="M99" s="7"/>
    </row>
    <row r="100" s="6" customFormat="1" spans="1:13">
      <c r="A100" s="7">
        <v>97</v>
      </c>
      <c r="B100" s="26"/>
      <c r="C100" s="8"/>
      <c r="D100" s="7" t="e" cm="1">
        <f t="array" ref="D100">SUM(VALUE(SUBSTITUTE(_xlfn.TEXTAFTER(_xlfn.TEXTSPLIT(C100,CHAR(10)),"-",-1),"km","")))</f>
        <v>#VALUE!</v>
      </c>
      <c r="E100" s="9" t="e">
        <f t="shared" si="24"/>
        <v>#VALUE!</v>
      </c>
      <c r="F100" s="9" t="e">
        <f t="shared" si="25"/>
        <v>#VALUE!</v>
      </c>
      <c r="G100" s="9" t="e">
        <f t="shared" si="26"/>
        <v>#VALUE!</v>
      </c>
      <c r="H100" s="9" t="e">
        <f t="shared" si="27"/>
        <v>#VALUE!</v>
      </c>
      <c r="I100" s="9" t="e">
        <f t="shared" si="28"/>
        <v>#VALUE!</v>
      </c>
      <c r="J100" s="9" t="e">
        <f t="shared" si="29"/>
        <v>#VALUE!</v>
      </c>
      <c r="K100" s="7"/>
      <c r="L100" s="7"/>
      <c r="M100" s="7"/>
    </row>
    <row r="101" s="6" customFormat="1" spans="1:13">
      <c r="A101" s="7">
        <v>98</v>
      </c>
      <c r="B101" s="26"/>
      <c r="C101" s="8"/>
      <c r="D101" s="7" t="e" cm="1">
        <f t="array" ref="D101">SUM(VALUE(SUBSTITUTE(_xlfn.TEXTAFTER(_xlfn.TEXTSPLIT(C101,CHAR(10)),"-",-1),"km","")))</f>
        <v>#VALUE!</v>
      </c>
      <c r="E101" s="9" t="e">
        <f t="shared" si="24"/>
        <v>#VALUE!</v>
      </c>
      <c r="F101" s="9" t="e">
        <f t="shared" si="25"/>
        <v>#VALUE!</v>
      </c>
      <c r="G101" s="9" t="e">
        <f t="shared" si="26"/>
        <v>#VALUE!</v>
      </c>
      <c r="H101" s="9" t="e">
        <f t="shared" si="27"/>
        <v>#VALUE!</v>
      </c>
      <c r="I101" s="9" t="e">
        <f t="shared" si="28"/>
        <v>#VALUE!</v>
      </c>
      <c r="J101" s="9" t="e">
        <f t="shared" si="29"/>
        <v>#VALUE!</v>
      </c>
      <c r="K101" s="7"/>
      <c r="L101" s="7"/>
      <c r="M101" s="7"/>
    </row>
    <row r="102" s="6" customFormat="1" spans="1:13">
      <c r="A102" s="7">
        <v>99</v>
      </c>
      <c r="B102" s="26"/>
      <c r="C102" s="8"/>
      <c r="D102" s="7" t="e" cm="1">
        <f t="array" ref="D102">SUM(VALUE(SUBSTITUTE(_xlfn.TEXTAFTER(_xlfn.TEXTSPLIT(C102,CHAR(10)),"-",-1),"km","")))</f>
        <v>#VALUE!</v>
      </c>
      <c r="E102" s="9" t="e">
        <f t="shared" si="24"/>
        <v>#VALUE!</v>
      </c>
      <c r="F102" s="9" t="e">
        <f t="shared" si="25"/>
        <v>#VALUE!</v>
      </c>
      <c r="G102" s="9" t="e">
        <f t="shared" si="26"/>
        <v>#VALUE!</v>
      </c>
      <c r="H102" s="9" t="e">
        <f t="shared" si="27"/>
        <v>#VALUE!</v>
      </c>
      <c r="I102" s="9" t="e">
        <f t="shared" si="28"/>
        <v>#VALUE!</v>
      </c>
      <c r="J102" s="9" t="e">
        <f t="shared" si="29"/>
        <v>#VALUE!</v>
      </c>
      <c r="K102" s="7"/>
      <c r="L102" s="7"/>
      <c r="M102" s="7"/>
    </row>
    <row r="103" s="6" customFormat="1" spans="1:13">
      <c r="A103" s="7">
        <v>100</v>
      </c>
      <c r="B103" s="26"/>
      <c r="C103" s="8"/>
      <c r="D103" s="7" t="e" cm="1">
        <f t="array" ref="D103">SUM(VALUE(SUBSTITUTE(_xlfn.TEXTAFTER(_xlfn.TEXTSPLIT(C103,CHAR(10)),"-",-1),"km","")))</f>
        <v>#VALUE!</v>
      </c>
      <c r="E103" s="9" t="e">
        <f t="shared" si="24"/>
        <v>#VALUE!</v>
      </c>
      <c r="F103" s="9" t="e">
        <f t="shared" si="25"/>
        <v>#VALUE!</v>
      </c>
      <c r="G103" s="9" t="e">
        <f t="shared" si="26"/>
        <v>#VALUE!</v>
      </c>
      <c r="H103" s="9" t="e">
        <f t="shared" si="27"/>
        <v>#VALUE!</v>
      </c>
      <c r="I103" s="9" t="e">
        <f t="shared" si="28"/>
        <v>#VALUE!</v>
      </c>
      <c r="J103" s="9" t="e">
        <f t="shared" si="29"/>
        <v>#VALUE!</v>
      </c>
      <c r="K103" s="7"/>
      <c r="L103" s="7"/>
      <c r="M103" s="7"/>
    </row>
    <row r="104" s="6" customFormat="1" spans="1:13">
      <c r="A104" s="7">
        <v>101</v>
      </c>
      <c r="B104" s="26"/>
      <c r="C104" s="8"/>
      <c r="D104" s="7" t="e" cm="1">
        <f t="array" ref="D104">SUM(VALUE(SUBSTITUTE(_xlfn.TEXTAFTER(_xlfn.TEXTSPLIT(C104,CHAR(10)),"-",-1),"km","")))</f>
        <v>#VALUE!</v>
      </c>
      <c r="E104" s="9" t="e">
        <f t="shared" si="24"/>
        <v>#VALUE!</v>
      </c>
      <c r="F104" s="9" t="e">
        <f t="shared" si="25"/>
        <v>#VALUE!</v>
      </c>
      <c r="G104" s="9" t="e">
        <f t="shared" si="26"/>
        <v>#VALUE!</v>
      </c>
      <c r="H104" s="9" t="e">
        <f t="shared" si="27"/>
        <v>#VALUE!</v>
      </c>
      <c r="I104" s="9" t="e">
        <f t="shared" si="28"/>
        <v>#VALUE!</v>
      </c>
      <c r="J104" s="9" t="e">
        <f t="shared" si="29"/>
        <v>#VALUE!</v>
      </c>
      <c r="K104" s="7"/>
      <c r="L104" s="7"/>
      <c r="M104" s="7"/>
    </row>
    <row r="105" s="6" customFormat="1" spans="1:13">
      <c r="A105" s="7">
        <v>102</v>
      </c>
      <c r="B105" s="26"/>
      <c r="C105" s="8"/>
      <c r="D105" s="7" t="e" cm="1">
        <f t="array" ref="D105">SUM(VALUE(SUBSTITUTE(_xlfn.TEXTAFTER(_xlfn.TEXTSPLIT(C105,CHAR(10)),"-",-1),"km","")))</f>
        <v>#VALUE!</v>
      </c>
      <c r="E105" s="9" t="e">
        <f t="shared" si="24"/>
        <v>#VALUE!</v>
      </c>
      <c r="F105" s="9" t="e">
        <f t="shared" si="25"/>
        <v>#VALUE!</v>
      </c>
      <c r="G105" s="9" t="e">
        <f t="shared" si="26"/>
        <v>#VALUE!</v>
      </c>
      <c r="H105" s="9" t="e">
        <f t="shared" si="27"/>
        <v>#VALUE!</v>
      </c>
      <c r="I105" s="9" t="e">
        <f t="shared" si="28"/>
        <v>#VALUE!</v>
      </c>
      <c r="J105" s="9" t="e">
        <f t="shared" si="29"/>
        <v>#VALUE!</v>
      </c>
      <c r="K105" s="7"/>
      <c r="L105" s="7"/>
      <c r="M105" s="7"/>
    </row>
    <row r="106" s="6" customFormat="1" spans="1:13">
      <c r="A106" s="7">
        <v>103</v>
      </c>
      <c r="B106" s="26"/>
      <c r="C106" s="8"/>
      <c r="D106" s="7" t="e" cm="1">
        <f t="array" ref="D106">SUM(VALUE(SUBSTITUTE(_xlfn.TEXTAFTER(_xlfn.TEXTSPLIT(C106,CHAR(10)),"-",-1),"km","")))</f>
        <v>#VALUE!</v>
      </c>
      <c r="E106" s="9" t="e">
        <f t="shared" si="24"/>
        <v>#VALUE!</v>
      </c>
      <c r="F106" s="9" t="e">
        <f t="shared" si="25"/>
        <v>#VALUE!</v>
      </c>
      <c r="G106" s="9" t="e">
        <f t="shared" si="26"/>
        <v>#VALUE!</v>
      </c>
      <c r="H106" s="9" t="e">
        <f t="shared" si="27"/>
        <v>#VALUE!</v>
      </c>
      <c r="I106" s="9" t="e">
        <f t="shared" si="28"/>
        <v>#VALUE!</v>
      </c>
      <c r="J106" s="9" t="e">
        <f t="shared" si="29"/>
        <v>#VALUE!</v>
      </c>
      <c r="K106" s="7"/>
      <c r="L106" s="7"/>
      <c r="M106" s="7"/>
    </row>
    <row r="107" s="6" customFormat="1" spans="1:13">
      <c r="A107" s="7">
        <v>104</v>
      </c>
      <c r="B107" s="26"/>
      <c r="C107" s="8"/>
      <c r="D107" s="7" t="e" cm="1">
        <f t="array" ref="D107">SUM(VALUE(SUBSTITUTE(_xlfn.TEXTAFTER(_xlfn.TEXTSPLIT(C107,CHAR(10)),"-",-1),"km","")))</f>
        <v>#VALUE!</v>
      </c>
      <c r="E107" s="9" t="e">
        <f t="shared" ref="E107:E126" si="30">F107/1.09</f>
        <v>#VALUE!</v>
      </c>
      <c r="F107" s="9" t="e">
        <f t="shared" si="25"/>
        <v>#VALUE!</v>
      </c>
      <c r="G107" s="9" t="e">
        <f t="shared" ref="G107:G126" si="31">D107*E107</f>
        <v>#VALUE!</v>
      </c>
      <c r="H107" s="9" t="e">
        <f t="shared" ref="H107:H126" si="32">D107*F107</f>
        <v>#VALUE!</v>
      </c>
      <c r="I107" s="9" t="e">
        <f t="shared" si="28"/>
        <v>#VALUE!</v>
      </c>
      <c r="J107" s="9" t="e">
        <f t="shared" ref="J107:J126" si="33">D107*I107</f>
        <v>#VALUE!</v>
      </c>
      <c r="K107" s="7"/>
      <c r="L107" s="7"/>
      <c r="M107" s="7"/>
    </row>
    <row r="108" s="6" customFormat="1" spans="1:13">
      <c r="A108" s="7">
        <v>105</v>
      </c>
      <c r="B108" s="26"/>
      <c r="C108" s="8"/>
      <c r="D108" s="7" t="e" cm="1">
        <f t="array" ref="D108">SUM(VALUE(SUBSTITUTE(_xlfn.TEXTAFTER(_xlfn.TEXTSPLIT(C108,CHAR(10)),"-",-1),"km","")))</f>
        <v>#VALUE!</v>
      </c>
      <c r="E108" s="9" t="e">
        <f t="shared" si="30"/>
        <v>#VALUE!</v>
      </c>
      <c r="F108" s="9" t="e">
        <f t="shared" si="25"/>
        <v>#VALUE!</v>
      </c>
      <c r="G108" s="9" t="e">
        <f t="shared" si="31"/>
        <v>#VALUE!</v>
      </c>
      <c r="H108" s="9" t="e">
        <f t="shared" si="32"/>
        <v>#VALUE!</v>
      </c>
      <c r="I108" s="9" t="e">
        <f t="shared" si="28"/>
        <v>#VALUE!</v>
      </c>
      <c r="J108" s="9" t="e">
        <f t="shared" si="33"/>
        <v>#VALUE!</v>
      </c>
      <c r="K108" s="7"/>
      <c r="L108" s="7"/>
      <c r="M108" s="7"/>
    </row>
    <row r="109" spans="1:13">
      <c r="A109" s="7">
        <v>106</v>
      </c>
      <c r="B109" s="26"/>
      <c r="C109" s="8"/>
      <c r="D109" s="7" t="e" cm="1">
        <f t="array" ref="D109">SUM(VALUE(SUBSTITUTE(_xlfn.TEXTAFTER(_xlfn.TEXTSPLIT(C109,CHAR(10)),"-",-1),"km","")))</f>
        <v>#VALUE!</v>
      </c>
      <c r="E109" s="9" t="e">
        <f t="shared" si="30"/>
        <v>#VALUE!</v>
      </c>
      <c r="F109" s="9" t="e">
        <f t="shared" si="25"/>
        <v>#VALUE!</v>
      </c>
      <c r="G109" s="9" t="e">
        <f t="shared" si="31"/>
        <v>#VALUE!</v>
      </c>
      <c r="H109" s="9" t="e">
        <f t="shared" si="32"/>
        <v>#VALUE!</v>
      </c>
      <c r="I109" s="9" t="e">
        <f t="shared" si="28"/>
        <v>#VALUE!</v>
      </c>
      <c r="J109" s="9" t="e">
        <f t="shared" si="33"/>
        <v>#VALUE!</v>
      </c>
      <c r="K109" s="7"/>
      <c r="L109" s="7"/>
      <c r="M109" s="7"/>
    </row>
    <row r="110" spans="1:13">
      <c r="A110" s="7">
        <v>107</v>
      </c>
      <c r="B110" s="26"/>
      <c r="C110" s="8"/>
      <c r="D110" s="7" t="e" cm="1">
        <f t="array" ref="D110">SUM(VALUE(SUBSTITUTE(_xlfn.TEXTAFTER(_xlfn.TEXTSPLIT(C110,CHAR(10)),"-",-1),"km","")))</f>
        <v>#VALUE!</v>
      </c>
      <c r="E110" s="9" t="e">
        <f t="shared" si="30"/>
        <v>#VALUE!</v>
      </c>
      <c r="F110" s="9" t="e">
        <f t="shared" ref="F110:F126" si="34">IF(D110&gt;=301,4.1,IF(D110&gt;=201,4.3,IF(D110&gt;=101,4.5,"")))</f>
        <v>#VALUE!</v>
      </c>
      <c r="G110" s="9" t="e">
        <f t="shared" si="31"/>
        <v>#VALUE!</v>
      </c>
      <c r="H110" s="9" t="e">
        <f t="shared" si="32"/>
        <v>#VALUE!</v>
      </c>
      <c r="I110" s="9" t="e">
        <f t="shared" ref="I110:I126" si="35">IF(D110&gt;=301,3.2,IF(D110&gt;=201,3.5,IF(D110&gt;=101,3.5,"")))</f>
        <v>#VALUE!</v>
      </c>
      <c r="J110" s="9" t="e">
        <f t="shared" si="33"/>
        <v>#VALUE!</v>
      </c>
      <c r="K110" s="7"/>
      <c r="L110" s="7"/>
      <c r="M110" s="7"/>
    </row>
    <row r="111" spans="1:13">
      <c r="A111" s="7">
        <v>108</v>
      </c>
      <c r="B111" s="26"/>
      <c r="C111" s="8"/>
      <c r="D111" s="7" t="e" cm="1">
        <f t="array" ref="D111">SUM(VALUE(SUBSTITUTE(_xlfn.TEXTAFTER(_xlfn.TEXTSPLIT(C111,CHAR(10)),"-",-1),"km","")))</f>
        <v>#VALUE!</v>
      </c>
      <c r="E111" s="9" t="e">
        <f t="shared" si="30"/>
        <v>#VALUE!</v>
      </c>
      <c r="F111" s="9" t="e">
        <f t="shared" si="34"/>
        <v>#VALUE!</v>
      </c>
      <c r="G111" s="9" t="e">
        <f t="shared" si="31"/>
        <v>#VALUE!</v>
      </c>
      <c r="H111" s="9" t="e">
        <f t="shared" si="32"/>
        <v>#VALUE!</v>
      </c>
      <c r="I111" s="9" t="e">
        <f t="shared" si="35"/>
        <v>#VALUE!</v>
      </c>
      <c r="J111" s="9" t="e">
        <f t="shared" si="33"/>
        <v>#VALUE!</v>
      </c>
      <c r="K111" s="7"/>
      <c r="L111" s="7"/>
      <c r="M111" s="7"/>
    </row>
    <row r="112" spans="1:13">
      <c r="A112" s="7">
        <v>109</v>
      </c>
      <c r="B112" s="26"/>
      <c r="C112" s="8"/>
      <c r="D112" s="7" t="e" cm="1">
        <f t="array" ref="D112">SUM(VALUE(SUBSTITUTE(_xlfn.TEXTAFTER(_xlfn.TEXTSPLIT(C112,CHAR(10)),"-",-1),"km","")))</f>
        <v>#VALUE!</v>
      </c>
      <c r="E112" s="9" t="e">
        <f t="shared" si="30"/>
        <v>#VALUE!</v>
      </c>
      <c r="F112" s="9" t="e">
        <f t="shared" si="34"/>
        <v>#VALUE!</v>
      </c>
      <c r="G112" s="9" t="e">
        <f t="shared" si="31"/>
        <v>#VALUE!</v>
      </c>
      <c r="H112" s="9" t="e">
        <f t="shared" si="32"/>
        <v>#VALUE!</v>
      </c>
      <c r="I112" s="9" t="e">
        <f t="shared" si="35"/>
        <v>#VALUE!</v>
      </c>
      <c r="J112" s="9" t="e">
        <f t="shared" si="33"/>
        <v>#VALUE!</v>
      </c>
      <c r="K112" s="7"/>
      <c r="L112" s="7"/>
      <c r="M112" s="7"/>
    </row>
    <row r="113" spans="1:13">
      <c r="A113" s="7">
        <v>110</v>
      </c>
      <c r="B113" s="26"/>
      <c r="C113" s="8"/>
      <c r="D113" s="7" t="e" cm="1">
        <f t="array" ref="D113">SUM(VALUE(SUBSTITUTE(_xlfn.TEXTAFTER(_xlfn.TEXTSPLIT(C113,CHAR(10)),"-",-1),"km","")))</f>
        <v>#VALUE!</v>
      </c>
      <c r="E113" s="9" t="e">
        <f t="shared" si="30"/>
        <v>#VALUE!</v>
      </c>
      <c r="F113" s="9" t="e">
        <f t="shared" si="34"/>
        <v>#VALUE!</v>
      </c>
      <c r="G113" s="9" t="e">
        <f t="shared" si="31"/>
        <v>#VALUE!</v>
      </c>
      <c r="H113" s="9" t="e">
        <f t="shared" si="32"/>
        <v>#VALUE!</v>
      </c>
      <c r="I113" s="9" t="e">
        <f t="shared" si="35"/>
        <v>#VALUE!</v>
      </c>
      <c r="J113" s="9" t="e">
        <f t="shared" si="33"/>
        <v>#VALUE!</v>
      </c>
      <c r="K113" s="7"/>
      <c r="L113" s="7"/>
      <c r="M113" s="7"/>
    </row>
    <row r="114" spans="1:13">
      <c r="A114" s="7">
        <v>111</v>
      </c>
      <c r="B114" s="26"/>
      <c r="C114" s="8"/>
      <c r="D114" s="7" t="e" cm="1">
        <f t="array" ref="D114">SUM(VALUE(SUBSTITUTE(_xlfn.TEXTAFTER(_xlfn.TEXTSPLIT(C114,CHAR(10)),"-",-1),"km","")))</f>
        <v>#VALUE!</v>
      </c>
      <c r="E114" s="9" t="e">
        <f t="shared" si="30"/>
        <v>#VALUE!</v>
      </c>
      <c r="F114" s="9" t="e">
        <f t="shared" si="34"/>
        <v>#VALUE!</v>
      </c>
      <c r="G114" s="9" t="e">
        <f t="shared" si="31"/>
        <v>#VALUE!</v>
      </c>
      <c r="H114" s="9" t="e">
        <f t="shared" si="32"/>
        <v>#VALUE!</v>
      </c>
      <c r="I114" s="9" t="e">
        <f t="shared" si="35"/>
        <v>#VALUE!</v>
      </c>
      <c r="J114" s="9" t="e">
        <f t="shared" si="33"/>
        <v>#VALUE!</v>
      </c>
      <c r="K114" s="7"/>
      <c r="L114" s="7"/>
      <c r="M114" s="7"/>
    </row>
    <row r="115" spans="1:13">
      <c r="A115" s="7">
        <v>112</v>
      </c>
      <c r="B115" s="26"/>
      <c r="C115" s="8"/>
      <c r="D115" s="7" t="e" cm="1">
        <f t="array" ref="D115">SUM(VALUE(SUBSTITUTE(_xlfn.TEXTAFTER(_xlfn.TEXTSPLIT(C115,CHAR(10)),"-",-1),"km","")))</f>
        <v>#VALUE!</v>
      </c>
      <c r="E115" s="9" t="e">
        <f t="shared" si="30"/>
        <v>#VALUE!</v>
      </c>
      <c r="F115" s="9" t="e">
        <f t="shared" si="34"/>
        <v>#VALUE!</v>
      </c>
      <c r="G115" s="9" t="e">
        <f t="shared" si="31"/>
        <v>#VALUE!</v>
      </c>
      <c r="H115" s="9" t="e">
        <f t="shared" si="32"/>
        <v>#VALUE!</v>
      </c>
      <c r="I115" s="9" t="e">
        <f t="shared" si="35"/>
        <v>#VALUE!</v>
      </c>
      <c r="J115" s="9" t="e">
        <f t="shared" si="33"/>
        <v>#VALUE!</v>
      </c>
      <c r="K115" s="7"/>
      <c r="L115" s="7"/>
      <c r="M115" s="7"/>
    </row>
    <row r="116" spans="1:13">
      <c r="A116" s="7">
        <v>113</v>
      </c>
      <c r="B116" s="26"/>
      <c r="C116" s="8"/>
      <c r="D116" s="7" t="e" cm="1">
        <f t="array" ref="D116">SUM(VALUE(SUBSTITUTE(_xlfn.TEXTAFTER(_xlfn.TEXTSPLIT(C116,CHAR(10)),"-",-1),"km","")))</f>
        <v>#VALUE!</v>
      </c>
      <c r="E116" s="9" t="e">
        <f t="shared" si="30"/>
        <v>#VALUE!</v>
      </c>
      <c r="F116" s="9" t="e">
        <f t="shared" si="34"/>
        <v>#VALUE!</v>
      </c>
      <c r="G116" s="9" t="e">
        <f t="shared" si="31"/>
        <v>#VALUE!</v>
      </c>
      <c r="H116" s="9" t="e">
        <f t="shared" si="32"/>
        <v>#VALUE!</v>
      </c>
      <c r="I116" s="9" t="e">
        <f t="shared" si="35"/>
        <v>#VALUE!</v>
      </c>
      <c r="J116" s="9" t="e">
        <f t="shared" si="33"/>
        <v>#VALUE!</v>
      </c>
      <c r="K116" s="7"/>
      <c r="L116" s="7"/>
      <c r="M116" s="7"/>
    </row>
    <row r="117" spans="1:13">
      <c r="A117" s="7">
        <v>114</v>
      </c>
      <c r="B117" s="26"/>
      <c r="C117" s="8"/>
      <c r="D117" s="7" t="e" cm="1">
        <f t="array" ref="D117">SUM(VALUE(SUBSTITUTE(_xlfn.TEXTAFTER(_xlfn.TEXTSPLIT(C117,CHAR(10)),"-",-1),"km","")))</f>
        <v>#VALUE!</v>
      </c>
      <c r="E117" s="9" t="e">
        <f t="shared" si="30"/>
        <v>#VALUE!</v>
      </c>
      <c r="F117" s="9" t="e">
        <f t="shared" si="34"/>
        <v>#VALUE!</v>
      </c>
      <c r="G117" s="9" t="e">
        <f t="shared" si="31"/>
        <v>#VALUE!</v>
      </c>
      <c r="H117" s="9" t="e">
        <f t="shared" si="32"/>
        <v>#VALUE!</v>
      </c>
      <c r="I117" s="9" t="e">
        <f t="shared" si="35"/>
        <v>#VALUE!</v>
      </c>
      <c r="J117" s="9" t="e">
        <f t="shared" si="33"/>
        <v>#VALUE!</v>
      </c>
      <c r="K117" s="7"/>
      <c r="L117" s="7"/>
      <c r="M117" s="7"/>
    </row>
    <row r="118" spans="1:13">
      <c r="A118" s="7">
        <v>115</v>
      </c>
      <c r="B118" s="26"/>
      <c r="C118" s="8"/>
      <c r="D118" s="7" t="e" cm="1">
        <f t="array" ref="D118">SUM(VALUE(SUBSTITUTE(_xlfn.TEXTAFTER(_xlfn.TEXTSPLIT(C118,CHAR(10)),"-",-1),"km","")))</f>
        <v>#VALUE!</v>
      </c>
      <c r="E118" s="9" t="e">
        <f t="shared" si="30"/>
        <v>#VALUE!</v>
      </c>
      <c r="F118" s="9" t="e">
        <f t="shared" si="34"/>
        <v>#VALUE!</v>
      </c>
      <c r="G118" s="9" t="e">
        <f t="shared" si="31"/>
        <v>#VALUE!</v>
      </c>
      <c r="H118" s="9" t="e">
        <f t="shared" si="32"/>
        <v>#VALUE!</v>
      </c>
      <c r="I118" s="9" t="e">
        <f t="shared" si="35"/>
        <v>#VALUE!</v>
      </c>
      <c r="J118" s="9" t="e">
        <f t="shared" si="33"/>
        <v>#VALUE!</v>
      </c>
      <c r="K118" s="7"/>
      <c r="L118" s="7"/>
      <c r="M118" s="7"/>
    </row>
    <row r="119" spans="1:13">
      <c r="A119" s="7">
        <v>116</v>
      </c>
      <c r="B119" s="26"/>
      <c r="C119" s="8"/>
      <c r="D119" s="7" t="e" cm="1">
        <f t="array" ref="D119">SUM(VALUE(SUBSTITUTE(_xlfn.TEXTAFTER(_xlfn.TEXTSPLIT(C119,CHAR(10)),"-",-1),"km","")))</f>
        <v>#VALUE!</v>
      </c>
      <c r="E119" s="9" t="e">
        <f t="shared" si="30"/>
        <v>#VALUE!</v>
      </c>
      <c r="F119" s="9" t="e">
        <f t="shared" si="34"/>
        <v>#VALUE!</v>
      </c>
      <c r="G119" s="9" t="e">
        <f t="shared" si="31"/>
        <v>#VALUE!</v>
      </c>
      <c r="H119" s="9" t="e">
        <f t="shared" si="32"/>
        <v>#VALUE!</v>
      </c>
      <c r="I119" s="9" t="e">
        <f t="shared" si="35"/>
        <v>#VALUE!</v>
      </c>
      <c r="J119" s="9" t="e">
        <f t="shared" si="33"/>
        <v>#VALUE!</v>
      </c>
      <c r="K119" s="7"/>
      <c r="L119" s="7"/>
      <c r="M119" s="7"/>
    </row>
    <row r="120" spans="1:13">
      <c r="A120" s="7">
        <v>117</v>
      </c>
      <c r="B120" s="26"/>
      <c r="C120" s="8"/>
      <c r="D120" s="7" t="e" cm="1">
        <f t="array" ref="D120">SUM(VALUE(SUBSTITUTE(_xlfn.TEXTAFTER(_xlfn.TEXTSPLIT(C120,CHAR(10)),"-",-1),"km","")))</f>
        <v>#VALUE!</v>
      </c>
      <c r="E120" s="9" t="e">
        <f t="shared" si="30"/>
        <v>#VALUE!</v>
      </c>
      <c r="F120" s="9" t="e">
        <f t="shared" si="34"/>
        <v>#VALUE!</v>
      </c>
      <c r="G120" s="9" t="e">
        <f t="shared" si="31"/>
        <v>#VALUE!</v>
      </c>
      <c r="H120" s="9" t="e">
        <f t="shared" si="32"/>
        <v>#VALUE!</v>
      </c>
      <c r="I120" s="9" t="e">
        <f t="shared" si="35"/>
        <v>#VALUE!</v>
      </c>
      <c r="J120" s="9" t="e">
        <f t="shared" si="33"/>
        <v>#VALUE!</v>
      </c>
      <c r="K120" s="7"/>
      <c r="L120" s="7"/>
      <c r="M120" s="7"/>
    </row>
    <row r="121" spans="1:13">
      <c r="A121" s="7">
        <v>118</v>
      </c>
      <c r="B121" s="26"/>
      <c r="C121" s="8"/>
      <c r="D121" s="7" t="e" cm="1">
        <f t="array" ref="D121">SUM(VALUE(SUBSTITUTE(_xlfn.TEXTAFTER(_xlfn.TEXTSPLIT(C121,CHAR(10)),"-",-1),"km","")))</f>
        <v>#VALUE!</v>
      </c>
      <c r="E121" s="9" t="e">
        <f t="shared" si="30"/>
        <v>#VALUE!</v>
      </c>
      <c r="F121" s="9" t="e">
        <f t="shared" si="34"/>
        <v>#VALUE!</v>
      </c>
      <c r="G121" s="9" t="e">
        <f t="shared" si="31"/>
        <v>#VALUE!</v>
      </c>
      <c r="H121" s="9" t="e">
        <f t="shared" si="32"/>
        <v>#VALUE!</v>
      </c>
      <c r="I121" s="9" t="e">
        <f t="shared" si="35"/>
        <v>#VALUE!</v>
      </c>
      <c r="J121" s="9" t="e">
        <f t="shared" si="33"/>
        <v>#VALUE!</v>
      </c>
      <c r="K121" s="7"/>
      <c r="L121" s="7"/>
      <c r="M121" s="7"/>
    </row>
    <row r="122" spans="1:13">
      <c r="A122" s="7">
        <v>119</v>
      </c>
      <c r="B122" s="26"/>
      <c r="C122" s="8"/>
      <c r="D122" s="7" t="e" cm="1">
        <f t="array" ref="D122">SUM(VALUE(SUBSTITUTE(_xlfn.TEXTAFTER(_xlfn.TEXTSPLIT(C122,CHAR(10)),"-",-1),"km","")))</f>
        <v>#VALUE!</v>
      </c>
      <c r="E122" s="9" t="e">
        <f t="shared" si="30"/>
        <v>#VALUE!</v>
      </c>
      <c r="F122" s="9" t="e">
        <f t="shared" si="34"/>
        <v>#VALUE!</v>
      </c>
      <c r="G122" s="9" t="e">
        <f t="shared" si="31"/>
        <v>#VALUE!</v>
      </c>
      <c r="H122" s="9" t="e">
        <f t="shared" si="32"/>
        <v>#VALUE!</v>
      </c>
      <c r="I122" s="9" t="e">
        <f t="shared" si="35"/>
        <v>#VALUE!</v>
      </c>
      <c r="J122" s="9" t="e">
        <f t="shared" si="33"/>
        <v>#VALUE!</v>
      </c>
      <c r="K122" s="7"/>
      <c r="L122" s="7"/>
      <c r="M122" s="7"/>
    </row>
    <row r="123" spans="1:13">
      <c r="A123" s="7">
        <v>120</v>
      </c>
      <c r="B123" s="26"/>
      <c r="C123" s="8"/>
      <c r="D123" s="7" t="e" cm="1">
        <f t="array" ref="D123">SUM(VALUE(SUBSTITUTE(_xlfn.TEXTAFTER(_xlfn.TEXTSPLIT(C123,CHAR(10)),"-",-1),"km","")))</f>
        <v>#VALUE!</v>
      </c>
      <c r="E123" s="9" t="e">
        <f t="shared" si="30"/>
        <v>#VALUE!</v>
      </c>
      <c r="F123" s="9" t="e">
        <f t="shared" si="34"/>
        <v>#VALUE!</v>
      </c>
      <c r="G123" s="9" t="e">
        <f t="shared" si="31"/>
        <v>#VALUE!</v>
      </c>
      <c r="H123" s="9" t="e">
        <f t="shared" si="32"/>
        <v>#VALUE!</v>
      </c>
      <c r="I123" s="9" t="e">
        <f t="shared" si="35"/>
        <v>#VALUE!</v>
      </c>
      <c r="J123" s="9" t="e">
        <f t="shared" si="33"/>
        <v>#VALUE!</v>
      </c>
      <c r="K123" s="7"/>
      <c r="L123" s="7"/>
      <c r="M123" s="7"/>
    </row>
    <row r="124" spans="1:13">
      <c r="A124" s="7">
        <v>121</v>
      </c>
      <c r="B124" s="26"/>
      <c r="C124" s="8"/>
      <c r="D124" s="7" t="e" cm="1">
        <f t="array" ref="D124">SUM(VALUE(SUBSTITUTE(_xlfn.TEXTAFTER(_xlfn.TEXTSPLIT(C124,CHAR(10)),"-",-1),"km","")))</f>
        <v>#VALUE!</v>
      </c>
      <c r="E124" s="9" t="e">
        <f t="shared" si="30"/>
        <v>#VALUE!</v>
      </c>
      <c r="F124" s="9" t="e">
        <f t="shared" si="34"/>
        <v>#VALUE!</v>
      </c>
      <c r="G124" s="9" t="e">
        <f t="shared" si="31"/>
        <v>#VALUE!</v>
      </c>
      <c r="H124" s="9" t="e">
        <f t="shared" si="32"/>
        <v>#VALUE!</v>
      </c>
      <c r="I124" s="9" t="e">
        <f t="shared" si="35"/>
        <v>#VALUE!</v>
      </c>
      <c r="J124" s="9" t="e">
        <f t="shared" si="33"/>
        <v>#VALUE!</v>
      </c>
      <c r="K124" s="7"/>
      <c r="L124" s="7"/>
      <c r="M124" s="7"/>
    </row>
    <row r="125" spans="1:13">
      <c r="A125" s="7">
        <v>122</v>
      </c>
      <c r="B125" s="26"/>
      <c r="C125" s="8"/>
      <c r="D125" s="7" t="e" cm="1">
        <f t="array" ref="D125">SUM(VALUE(SUBSTITUTE(_xlfn.TEXTAFTER(_xlfn.TEXTSPLIT(C125,CHAR(10)),"-",-1),"km","")))</f>
        <v>#VALUE!</v>
      </c>
      <c r="E125" s="9" t="e">
        <f t="shared" si="30"/>
        <v>#VALUE!</v>
      </c>
      <c r="F125" s="9" t="e">
        <f t="shared" si="34"/>
        <v>#VALUE!</v>
      </c>
      <c r="G125" s="9" t="e">
        <f t="shared" si="31"/>
        <v>#VALUE!</v>
      </c>
      <c r="H125" s="9" t="e">
        <f t="shared" si="32"/>
        <v>#VALUE!</v>
      </c>
      <c r="I125" s="9" t="e">
        <f t="shared" si="35"/>
        <v>#VALUE!</v>
      </c>
      <c r="J125" s="9" t="e">
        <f t="shared" si="33"/>
        <v>#VALUE!</v>
      </c>
      <c r="K125" s="7"/>
      <c r="L125" s="7"/>
      <c r="M125" s="7"/>
    </row>
    <row r="126" spans="1:13">
      <c r="A126" s="7">
        <v>123</v>
      </c>
      <c r="B126" s="26"/>
      <c r="C126" s="8"/>
      <c r="D126" s="7" t="e" cm="1">
        <f t="array" ref="D126">SUM(VALUE(SUBSTITUTE(_xlfn.TEXTAFTER(_xlfn.TEXTSPLIT(C126,CHAR(10)),"-",-1),"km","")))</f>
        <v>#VALUE!</v>
      </c>
      <c r="E126" s="9" t="e">
        <f t="shared" si="30"/>
        <v>#VALUE!</v>
      </c>
      <c r="F126" s="9" t="e">
        <f t="shared" si="34"/>
        <v>#VALUE!</v>
      </c>
      <c r="G126" s="9" t="e">
        <f t="shared" si="31"/>
        <v>#VALUE!</v>
      </c>
      <c r="H126" s="9" t="e">
        <f t="shared" si="32"/>
        <v>#VALUE!</v>
      </c>
      <c r="I126" s="9" t="e">
        <f t="shared" si="35"/>
        <v>#VALUE!</v>
      </c>
      <c r="J126" s="9" t="e">
        <f t="shared" si="33"/>
        <v>#VALUE!</v>
      </c>
      <c r="K126" s="7"/>
      <c r="L126" s="7"/>
      <c r="M126" s="7"/>
    </row>
    <row r="127" spans="1:13">
      <c r="A127" s="7">
        <v>124</v>
      </c>
      <c r="B127" s="26"/>
      <c r="C127" s="8"/>
      <c r="D127" s="7" t="e" cm="1">
        <f t="array" ref="D127">SUM(VALUE(SUBSTITUTE(_xlfn.TEXTAFTER(_xlfn.TEXTSPLIT(C127,CHAR(10)),"-",-1),"km","")))</f>
        <v>#VALUE!</v>
      </c>
      <c r="E127" s="9" t="e">
        <f t="shared" ref="E127:E158" si="36">F127/1.09</f>
        <v>#VALUE!</v>
      </c>
      <c r="F127" s="9" t="e">
        <f t="shared" ref="F127:F158" si="37">IF(D127&gt;=301,4.1,IF(D127&gt;=201,4.3,IF(D127&gt;=101,4.5,"")))</f>
        <v>#VALUE!</v>
      </c>
      <c r="G127" s="9" t="e">
        <f t="shared" ref="G127:G158" si="38">D127*E127</f>
        <v>#VALUE!</v>
      </c>
      <c r="H127" s="9" t="e">
        <f t="shared" ref="H127:H158" si="39">D127*F127</f>
        <v>#VALUE!</v>
      </c>
      <c r="I127" s="9" t="e">
        <f t="shared" ref="I127:I158" si="40">IF(D127&gt;=301,3.2,IF(D127&gt;=201,3.5,IF(D127&gt;=101,3.5,"")))</f>
        <v>#VALUE!</v>
      </c>
      <c r="J127" s="9" t="e">
        <f t="shared" ref="J127:J158" si="41">D127*I127</f>
        <v>#VALUE!</v>
      </c>
      <c r="K127" s="7"/>
      <c r="L127" s="7"/>
      <c r="M127" s="7"/>
    </row>
    <row r="128" spans="1:13">
      <c r="A128" s="7">
        <v>125</v>
      </c>
      <c r="B128" s="26"/>
      <c r="C128" s="8"/>
      <c r="D128" s="7" t="e" cm="1">
        <f t="array" ref="D128">SUM(VALUE(SUBSTITUTE(_xlfn.TEXTAFTER(_xlfn.TEXTSPLIT(C128,CHAR(10)),"-",-1),"km","")))</f>
        <v>#VALUE!</v>
      </c>
      <c r="E128" s="9" t="e">
        <f t="shared" si="36"/>
        <v>#VALUE!</v>
      </c>
      <c r="F128" s="9" t="e">
        <f t="shared" si="37"/>
        <v>#VALUE!</v>
      </c>
      <c r="G128" s="9" t="e">
        <f t="shared" si="38"/>
        <v>#VALUE!</v>
      </c>
      <c r="H128" s="9" t="e">
        <f t="shared" si="39"/>
        <v>#VALUE!</v>
      </c>
      <c r="I128" s="9" t="e">
        <f t="shared" si="40"/>
        <v>#VALUE!</v>
      </c>
      <c r="J128" s="9" t="e">
        <f t="shared" si="41"/>
        <v>#VALUE!</v>
      </c>
      <c r="K128" s="7"/>
      <c r="L128" s="7"/>
      <c r="M128" s="7"/>
    </row>
    <row r="129" spans="1:13">
      <c r="A129" s="7">
        <v>126</v>
      </c>
      <c r="B129" s="26"/>
      <c r="C129" s="8"/>
      <c r="D129" s="7" t="e" cm="1">
        <f t="array" ref="D129">SUM(VALUE(SUBSTITUTE(_xlfn.TEXTAFTER(_xlfn.TEXTSPLIT(C129,CHAR(10)),"-",-1),"km","")))</f>
        <v>#VALUE!</v>
      </c>
      <c r="E129" s="9" t="e">
        <f t="shared" si="36"/>
        <v>#VALUE!</v>
      </c>
      <c r="F129" s="9" t="e">
        <f t="shared" si="37"/>
        <v>#VALUE!</v>
      </c>
      <c r="G129" s="9" t="e">
        <f t="shared" si="38"/>
        <v>#VALUE!</v>
      </c>
      <c r="H129" s="9" t="e">
        <f t="shared" si="39"/>
        <v>#VALUE!</v>
      </c>
      <c r="I129" s="9" t="e">
        <f t="shared" si="40"/>
        <v>#VALUE!</v>
      </c>
      <c r="J129" s="9" t="e">
        <f t="shared" si="41"/>
        <v>#VALUE!</v>
      </c>
      <c r="K129" s="7"/>
      <c r="L129" s="7"/>
      <c r="M129" s="7"/>
    </row>
    <row r="130" spans="1:13">
      <c r="A130" s="7">
        <v>127</v>
      </c>
      <c r="B130" s="26"/>
      <c r="C130" s="8"/>
      <c r="D130" s="7" t="e" cm="1">
        <f t="array" ref="D130">SUM(VALUE(SUBSTITUTE(_xlfn.TEXTAFTER(_xlfn.TEXTSPLIT(C130,CHAR(10)),"-",-1),"km","")))</f>
        <v>#VALUE!</v>
      </c>
      <c r="E130" s="9" t="e">
        <f t="shared" si="36"/>
        <v>#VALUE!</v>
      </c>
      <c r="F130" s="9" t="e">
        <f t="shared" si="37"/>
        <v>#VALUE!</v>
      </c>
      <c r="G130" s="9" t="e">
        <f t="shared" si="38"/>
        <v>#VALUE!</v>
      </c>
      <c r="H130" s="9" t="e">
        <f t="shared" si="39"/>
        <v>#VALUE!</v>
      </c>
      <c r="I130" s="9" t="e">
        <f t="shared" si="40"/>
        <v>#VALUE!</v>
      </c>
      <c r="J130" s="9" t="e">
        <f t="shared" si="41"/>
        <v>#VALUE!</v>
      </c>
      <c r="K130" s="7"/>
      <c r="L130" s="7"/>
      <c r="M130" s="7"/>
    </row>
    <row r="131" spans="1:13">
      <c r="A131" s="7">
        <v>128</v>
      </c>
      <c r="B131" s="26"/>
      <c r="C131" s="8"/>
      <c r="D131" s="7" t="e" cm="1">
        <f t="array" ref="D131">SUM(VALUE(SUBSTITUTE(_xlfn.TEXTAFTER(_xlfn.TEXTSPLIT(C131,CHAR(10)),"-",-1),"km","")))</f>
        <v>#VALUE!</v>
      </c>
      <c r="E131" s="9" t="e">
        <f t="shared" si="36"/>
        <v>#VALUE!</v>
      </c>
      <c r="F131" s="9" t="e">
        <f t="shared" si="37"/>
        <v>#VALUE!</v>
      </c>
      <c r="G131" s="9" t="e">
        <f t="shared" si="38"/>
        <v>#VALUE!</v>
      </c>
      <c r="H131" s="9" t="e">
        <f t="shared" si="39"/>
        <v>#VALUE!</v>
      </c>
      <c r="I131" s="9" t="e">
        <f t="shared" si="40"/>
        <v>#VALUE!</v>
      </c>
      <c r="J131" s="9" t="e">
        <f t="shared" si="41"/>
        <v>#VALUE!</v>
      </c>
      <c r="K131" s="7"/>
      <c r="L131" s="7"/>
      <c r="M131" s="7"/>
    </row>
    <row r="132" spans="1:13">
      <c r="A132" s="7">
        <v>129</v>
      </c>
      <c r="B132" s="26"/>
      <c r="C132" s="8"/>
      <c r="D132" s="7" t="e" cm="1">
        <f t="array" ref="D132">SUM(VALUE(SUBSTITUTE(_xlfn.TEXTAFTER(_xlfn.TEXTSPLIT(C132,CHAR(10)),"-",-1),"km","")))</f>
        <v>#VALUE!</v>
      </c>
      <c r="E132" s="9" t="e">
        <f t="shared" si="36"/>
        <v>#VALUE!</v>
      </c>
      <c r="F132" s="9" t="e">
        <f t="shared" si="37"/>
        <v>#VALUE!</v>
      </c>
      <c r="G132" s="9" t="e">
        <f t="shared" si="38"/>
        <v>#VALUE!</v>
      </c>
      <c r="H132" s="9" t="e">
        <f t="shared" si="39"/>
        <v>#VALUE!</v>
      </c>
      <c r="I132" s="9" t="e">
        <f t="shared" si="40"/>
        <v>#VALUE!</v>
      </c>
      <c r="J132" s="9" t="e">
        <f t="shared" si="41"/>
        <v>#VALUE!</v>
      </c>
      <c r="K132" s="7"/>
      <c r="L132" s="7"/>
      <c r="M132" s="7"/>
    </row>
    <row r="133" spans="1:13">
      <c r="A133" s="7">
        <v>130</v>
      </c>
      <c r="B133" s="26"/>
      <c r="C133" s="8"/>
      <c r="D133" s="7" t="e" cm="1">
        <f t="array" ref="D133">SUM(VALUE(SUBSTITUTE(_xlfn.TEXTAFTER(_xlfn.TEXTSPLIT(C133,CHAR(10)),"-",-1),"km","")))</f>
        <v>#VALUE!</v>
      </c>
      <c r="E133" s="9" t="e">
        <f t="shared" si="36"/>
        <v>#VALUE!</v>
      </c>
      <c r="F133" s="9" t="e">
        <f t="shared" si="37"/>
        <v>#VALUE!</v>
      </c>
      <c r="G133" s="9" t="e">
        <f t="shared" si="38"/>
        <v>#VALUE!</v>
      </c>
      <c r="H133" s="9" t="e">
        <f t="shared" si="39"/>
        <v>#VALUE!</v>
      </c>
      <c r="I133" s="9" t="e">
        <f t="shared" si="40"/>
        <v>#VALUE!</v>
      </c>
      <c r="J133" s="9" t="e">
        <f t="shared" si="41"/>
        <v>#VALUE!</v>
      </c>
      <c r="K133" s="7"/>
      <c r="L133" s="7"/>
      <c r="M133" s="7"/>
    </row>
    <row r="134" spans="1:13">
      <c r="A134" s="7">
        <v>131</v>
      </c>
      <c r="B134" s="26"/>
      <c r="C134" s="8"/>
      <c r="D134" s="7" t="e" cm="1">
        <f t="array" ref="D134">SUM(VALUE(SUBSTITUTE(_xlfn.TEXTAFTER(_xlfn.TEXTSPLIT(C134,CHAR(10)),"-",-1),"km","")))</f>
        <v>#VALUE!</v>
      </c>
      <c r="E134" s="9" t="e">
        <f t="shared" si="36"/>
        <v>#VALUE!</v>
      </c>
      <c r="F134" s="9" t="e">
        <f t="shared" si="37"/>
        <v>#VALUE!</v>
      </c>
      <c r="G134" s="9" t="e">
        <f t="shared" si="38"/>
        <v>#VALUE!</v>
      </c>
      <c r="H134" s="9" t="e">
        <f t="shared" si="39"/>
        <v>#VALUE!</v>
      </c>
      <c r="I134" s="9" t="e">
        <f t="shared" si="40"/>
        <v>#VALUE!</v>
      </c>
      <c r="J134" s="9" t="e">
        <f t="shared" si="41"/>
        <v>#VALUE!</v>
      </c>
      <c r="K134" s="7"/>
      <c r="L134" s="7"/>
      <c r="M134" s="7"/>
    </row>
    <row r="135" spans="1:13">
      <c r="A135" s="7">
        <v>132</v>
      </c>
      <c r="B135" s="26"/>
      <c r="C135" s="8"/>
      <c r="D135" s="7" t="e" cm="1">
        <f t="array" ref="D135">SUM(VALUE(SUBSTITUTE(_xlfn.TEXTAFTER(_xlfn.TEXTSPLIT(C135,CHAR(10)),"-",-1),"km","")))</f>
        <v>#VALUE!</v>
      </c>
      <c r="E135" s="9" t="e">
        <f t="shared" si="36"/>
        <v>#VALUE!</v>
      </c>
      <c r="F135" s="9" t="e">
        <f t="shared" si="37"/>
        <v>#VALUE!</v>
      </c>
      <c r="G135" s="9" t="e">
        <f t="shared" si="38"/>
        <v>#VALUE!</v>
      </c>
      <c r="H135" s="9" t="e">
        <f t="shared" si="39"/>
        <v>#VALUE!</v>
      </c>
      <c r="I135" s="9" t="e">
        <f t="shared" si="40"/>
        <v>#VALUE!</v>
      </c>
      <c r="J135" s="9" t="e">
        <f t="shared" si="41"/>
        <v>#VALUE!</v>
      </c>
      <c r="K135" s="7"/>
      <c r="L135" s="7"/>
      <c r="M135" s="7"/>
    </row>
    <row r="136" spans="1:13">
      <c r="A136" s="7">
        <v>133</v>
      </c>
      <c r="B136" s="26"/>
      <c r="C136" s="8"/>
      <c r="D136" s="7" t="e" cm="1">
        <f t="array" ref="D136">SUM(VALUE(SUBSTITUTE(_xlfn.TEXTAFTER(_xlfn.TEXTSPLIT(C136,CHAR(10)),"-",-1),"km","")))</f>
        <v>#VALUE!</v>
      </c>
      <c r="E136" s="9" t="e">
        <f t="shared" si="36"/>
        <v>#VALUE!</v>
      </c>
      <c r="F136" s="9" t="e">
        <f t="shared" si="37"/>
        <v>#VALUE!</v>
      </c>
      <c r="G136" s="9" t="e">
        <f t="shared" si="38"/>
        <v>#VALUE!</v>
      </c>
      <c r="H136" s="9" t="e">
        <f t="shared" si="39"/>
        <v>#VALUE!</v>
      </c>
      <c r="I136" s="9" t="e">
        <f t="shared" si="40"/>
        <v>#VALUE!</v>
      </c>
      <c r="J136" s="9" t="e">
        <f t="shared" si="41"/>
        <v>#VALUE!</v>
      </c>
      <c r="K136" s="7"/>
      <c r="L136" s="7"/>
      <c r="M136" s="7"/>
    </row>
    <row r="137" spans="1:13">
      <c r="A137" s="7">
        <v>134</v>
      </c>
      <c r="B137" s="26"/>
      <c r="C137" s="8"/>
      <c r="D137" s="7" t="e" cm="1">
        <f t="array" ref="D137">SUM(VALUE(SUBSTITUTE(_xlfn.TEXTAFTER(_xlfn.TEXTSPLIT(C137,CHAR(10)),"-",-1),"km","")))</f>
        <v>#VALUE!</v>
      </c>
      <c r="E137" s="9" t="e">
        <f t="shared" si="36"/>
        <v>#VALUE!</v>
      </c>
      <c r="F137" s="9" t="e">
        <f t="shared" si="37"/>
        <v>#VALUE!</v>
      </c>
      <c r="G137" s="9" t="e">
        <f t="shared" si="38"/>
        <v>#VALUE!</v>
      </c>
      <c r="H137" s="9" t="e">
        <f t="shared" si="39"/>
        <v>#VALUE!</v>
      </c>
      <c r="I137" s="9" t="e">
        <f t="shared" si="40"/>
        <v>#VALUE!</v>
      </c>
      <c r="J137" s="9" t="e">
        <f t="shared" si="41"/>
        <v>#VALUE!</v>
      </c>
      <c r="K137" s="7"/>
      <c r="L137" s="7"/>
      <c r="M137" s="7"/>
    </row>
    <row r="138" spans="1:13">
      <c r="A138" s="7">
        <v>135</v>
      </c>
      <c r="B138" s="26"/>
      <c r="C138" s="8"/>
      <c r="D138" s="7" t="e" cm="1">
        <f t="array" ref="D138">SUM(VALUE(SUBSTITUTE(_xlfn.TEXTAFTER(_xlfn.TEXTSPLIT(C138,CHAR(10)),"-",-1),"km","")))</f>
        <v>#VALUE!</v>
      </c>
      <c r="E138" s="9" t="e">
        <f t="shared" si="36"/>
        <v>#VALUE!</v>
      </c>
      <c r="F138" s="9" t="e">
        <f t="shared" si="37"/>
        <v>#VALUE!</v>
      </c>
      <c r="G138" s="9" t="e">
        <f t="shared" si="38"/>
        <v>#VALUE!</v>
      </c>
      <c r="H138" s="9" t="e">
        <f t="shared" si="39"/>
        <v>#VALUE!</v>
      </c>
      <c r="I138" s="9" t="e">
        <f t="shared" si="40"/>
        <v>#VALUE!</v>
      </c>
      <c r="J138" s="9" t="e">
        <f t="shared" si="41"/>
        <v>#VALUE!</v>
      </c>
      <c r="K138" s="7"/>
      <c r="L138" s="7"/>
      <c r="M138" s="7"/>
    </row>
    <row r="139" spans="1:13">
      <c r="A139" s="7">
        <v>136</v>
      </c>
      <c r="B139" s="26"/>
      <c r="C139" s="8"/>
      <c r="D139" s="7" t="e" cm="1">
        <f t="array" ref="D139">SUM(VALUE(SUBSTITUTE(_xlfn.TEXTAFTER(_xlfn.TEXTSPLIT(C139,CHAR(10)),"-",-1),"km","")))</f>
        <v>#VALUE!</v>
      </c>
      <c r="E139" s="9" t="e">
        <f t="shared" si="36"/>
        <v>#VALUE!</v>
      </c>
      <c r="F139" s="9" t="e">
        <f t="shared" si="37"/>
        <v>#VALUE!</v>
      </c>
      <c r="G139" s="9" t="e">
        <f t="shared" si="38"/>
        <v>#VALUE!</v>
      </c>
      <c r="H139" s="9" t="e">
        <f t="shared" si="39"/>
        <v>#VALUE!</v>
      </c>
      <c r="I139" s="9" t="e">
        <f t="shared" si="40"/>
        <v>#VALUE!</v>
      </c>
      <c r="J139" s="9" t="e">
        <f t="shared" si="41"/>
        <v>#VALUE!</v>
      </c>
      <c r="K139" s="7"/>
      <c r="L139" s="7"/>
      <c r="M139" s="7"/>
    </row>
    <row r="140" spans="1:13">
      <c r="A140" s="7">
        <v>137</v>
      </c>
      <c r="B140" s="26"/>
      <c r="C140" s="8"/>
      <c r="D140" s="7" t="e" cm="1">
        <f t="array" ref="D140">SUM(VALUE(SUBSTITUTE(_xlfn.TEXTAFTER(_xlfn.TEXTSPLIT(C140,CHAR(10)),"-",-1),"km","")))</f>
        <v>#VALUE!</v>
      </c>
      <c r="E140" s="9" t="e">
        <f t="shared" si="36"/>
        <v>#VALUE!</v>
      </c>
      <c r="F140" s="9" t="e">
        <f t="shared" si="37"/>
        <v>#VALUE!</v>
      </c>
      <c r="G140" s="9" t="e">
        <f t="shared" si="38"/>
        <v>#VALUE!</v>
      </c>
      <c r="H140" s="9" t="e">
        <f t="shared" si="39"/>
        <v>#VALUE!</v>
      </c>
      <c r="I140" s="9" t="e">
        <f t="shared" si="40"/>
        <v>#VALUE!</v>
      </c>
      <c r="J140" s="9" t="e">
        <f t="shared" si="41"/>
        <v>#VALUE!</v>
      </c>
      <c r="K140" s="7"/>
      <c r="L140" s="7"/>
      <c r="M140" s="7"/>
    </row>
    <row r="141" spans="1:13">
      <c r="A141" s="7">
        <v>138</v>
      </c>
      <c r="B141" s="26"/>
      <c r="C141" s="8"/>
      <c r="D141" s="7" t="e" cm="1">
        <f t="array" ref="D141">SUM(VALUE(SUBSTITUTE(_xlfn.TEXTAFTER(_xlfn.TEXTSPLIT(C141,CHAR(10)),"-",-1),"km","")))</f>
        <v>#VALUE!</v>
      </c>
      <c r="E141" s="9" t="e">
        <f t="shared" si="36"/>
        <v>#VALUE!</v>
      </c>
      <c r="F141" s="9" t="e">
        <f t="shared" si="37"/>
        <v>#VALUE!</v>
      </c>
      <c r="G141" s="9" t="e">
        <f t="shared" si="38"/>
        <v>#VALUE!</v>
      </c>
      <c r="H141" s="9" t="e">
        <f t="shared" si="39"/>
        <v>#VALUE!</v>
      </c>
      <c r="I141" s="9" t="e">
        <f t="shared" si="40"/>
        <v>#VALUE!</v>
      </c>
      <c r="J141" s="9" t="e">
        <f t="shared" si="41"/>
        <v>#VALUE!</v>
      </c>
      <c r="K141" s="7"/>
      <c r="L141" s="7"/>
      <c r="M141" s="7"/>
    </row>
    <row r="142" spans="1:13">
      <c r="A142" s="7">
        <v>139</v>
      </c>
      <c r="B142" s="26"/>
      <c r="C142" s="8"/>
      <c r="D142" s="7" t="e" cm="1">
        <f t="array" ref="D142">SUM(VALUE(SUBSTITUTE(_xlfn.TEXTAFTER(_xlfn.TEXTSPLIT(C142,CHAR(10)),"-",-1),"km","")))</f>
        <v>#VALUE!</v>
      </c>
      <c r="E142" s="9" t="e">
        <f t="shared" si="36"/>
        <v>#VALUE!</v>
      </c>
      <c r="F142" s="9" t="e">
        <f t="shared" si="37"/>
        <v>#VALUE!</v>
      </c>
      <c r="G142" s="9" t="e">
        <f t="shared" si="38"/>
        <v>#VALUE!</v>
      </c>
      <c r="H142" s="9" t="e">
        <f t="shared" si="39"/>
        <v>#VALUE!</v>
      </c>
      <c r="I142" s="9" t="e">
        <f t="shared" si="40"/>
        <v>#VALUE!</v>
      </c>
      <c r="J142" s="9" t="e">
        <f t="shared" si="41"/>
        <v>#VALUE!</v>
      </c>
      <c r="K142" s="7"/>
      <c r="L142" s="7"/>
      <c r="M142" s="7"/>
    </row>
    <row r="143" spans="1:13">
      <c r="A143" s="7">
        <v>140</v>
      </c>
      <c r="B143" s="26"/>
      <c r="C143" s="8"/>
      <c r="D143" s="7" t="e" cm="1">
        <f t="array" ref="D143">SUM(VALUE(SUBSTITUTE(_xlfn.TEXTAFTER(_xlfn.TEXTSPLIT(C143,CHAR(10)),"-",-1),"km","")))</f>
        <v>#VALUE!</v>
      </c>
      <c r="E143" s="9" t="e">
        <f t="shared" si="36"/>
        <v>#VALUE!</v>
      </c>
      <c r="F143" s="9" t="e">
        <f t="shared" si="37"/>
        <v>#VALUE!</v>
      </c>
      <c r="G143" s="9" t="e">
        <f t="shared" si="38"/>
        <v>#VALUE!</v>
      </c>
      <c r="H143" s="9" t="e">
        <f t="shared" si="39"/>
        <v>#VALUE!</v>
      </c>
      <c r="I143" s="9" t="e">
        <f t="shared" si="40"/>
        <v>#VALUE!</v>
      </c>
      <c r="J143" s="9" t="e">
        <f t="shared" si="41"/>
        <v>#VALUE!</v>
      </c>
      <c r="K143" s="7"/>
      <c r="L143" s="7"/>
      <c r="M143" s="7"/>
    </row>
    <row r="144" spans="1:13">
      <c r="A144" s="7">
        <v>141</v>
      </c>
      <c r="B144" s="26"/>
      <c r="C144" s="8"/>
      <c r="D144" s="7" t="e" cm="1">
        <f t="array" ref="D144">SUM(VALUE(SUBSTITUTE(_xlfn.TEXTAFTER(_xlfn.TEXTSPLIT(C144,CHAR(10)),"-",-1),"km","")))</f>
        <v>#VALUE!</v>
      </c>
      <c r="E144" s="9" t="e">
        <f t="shared" si="36"/>
        <v>#VALUE!</v>
      </c>
      <c r="F144" s="9" t="e">
        <f t="shared" si="37"/>
        <v>#VALUE!</v>
      </c>
      <c r="G144" s="9" t="e">
        <f t="shared" si="38"/>
        <v>#VALUE!</v>
      </c>
      <c r="H144" s="9" t="e">
        <f t="shared" si="39"/>
        <v>#VALUE!</v>
      </c>
      <c r="I144" s="9" t="e">
        <f t="shared" si="40"/>
        <v>#VALUE!</v>
      </c>
      <c r="J144" s="9" t="e">
        <f t="shared" si="41"/>
        <v>#VALUE!</v>
      </c>
      <c r="K144" s="7"/>
      <c r="L144" s="7"/>
      <c r="M144" s="7"/>
    </row>
    <row r="145" spans="1:13">
      <c r="A145" s="7">
        <v>142</v>
      </c>
      <c r="B145" s="26"/>
      <c r="C145" s="8"/>
      <c r="D145" s="7" t="e" cm="1">
        <f t="array" ref="D145">SUM(VALUE(SUBSTITUTE(_xlfn.TEXTAFTER(_xlfn.TEXTSPLIT(C145,CHAR(10)),"-",-1),"km","")))</f>
        <v>#VALUE!</v>
      </c>
      <c r="E145" s="9" t="e">
        <f t="shared" si="36"/>
        <v>#VALUE!</v>
      </c>
      <c r="F145" s="9" t="e">
        <f t="shared" si="37"/>
        <v>#VALUE!</v>
      </c>
      <c r="G145" s="9" t="e">
        <f t="shared" si="38"/>
        <v>#VALUE!</v>
      </c>
      <c r="H145" s="9" t="e">
        <f t="shared" si="39"/>
        <v>#VALUE!</v>
      </c>
      <c r="I145" s="9" t="e">
        <f t="shared" si="40"/>
        <v>#VALUE!</v>
      </c>
      <c r="J145" s="9" t="e">
        <f t="shared" si="41"/>
        <v>#VALUE!</v>
      </c>
      <c r="K145" s="7"/>
      <c r="L145" s="7"/>
      <c r="M145" s="7"/>
    </row>
  </sheetData>
  <autoFilter xmlns:etc="http://www.wps.cn/officeDocument/2017/etCustomData" ref="A1:Q145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15.6296296296296" defaultRowHeight="15.6"/>
  <cols>
    <col min="1" max="1" width="11.3796296296296" style="2" customWidth="1"/>
    <col min="2" max="2" width="11.1296296296296" style="2" customWidth="1"/>
    <col min="3" max="3" width="42.3796296296296" style="3" customWidth="1"/>
    <col min="4" max="4" width="15.8796296296296" style="2" customWidth="1"/>
    <col min="5" max="5" width="12.1296296296296" style="2" hidden="1" customWidth="1"/>
    <col min="6" max="7" width="15.6296296296296" style="4" customWidth="1"/>
    <col min="8" max="8" width="14.25" style="5" customWidth="1"/>
    <col min="9" max="9" width="12.25" style="5" customWidth="1"/>
    <col min="10" max="10" width="11.5092592592593" style="5" customWidth="1"/>
    <col min="11" max="11" width="15.6296296296296" style="5" customWidth="1"/>
    <col min="12" max="12" width="15.6296296296296" style="6" customWidth="1"/>
    <col min="13" max="16384" width="15.6296296296296" style="2" customWidth="1"/>
  </cols>
  <sheetData>
    <row r="1" ht="30" customHeight="1" spans="1:14">
      <c r="A1" s="7" t="s">
        <v>0</v>
      </c>
      <c r="B1" s="7" t="s">
        <v>1</v>
      </c>
      <c r="C1" s="8" t="s">
        <v>2</v>
      </c>
      <c r="D1" s="7" t="s">
        <v>3</v>
      </c>
      <c r="E1" s="7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8</v>
      </c>
      <c r="L1" s="7" t="s">
        <v>9</v>
      </c>
      <c r="M1" s="7" t="s">
        <v>10</v>
      </c>
      <c r="N1" s="7" t="s">
        <v>11</v>
      </c>
    </row>
    <row r="2" s="1" customFormat="1" ht="93.6" spans="1:14">
      <c r="A2" s="10">
        <v>82</v>
      </c>
      <c r="B2" s="11">
        <v>45948</v>
      </c>
      <c r="C2" s="12" t="s">
        <v>101</v>
      </c>
      <c r="D2" s="10" t="e" cm="1">
        <f t="array" ref="D2">SUM(VALUE(SUBSTITUTE(_xlfn.TEXTAFTER(_xlfn.TEXTSPLIT(C2,CHAR(10)),"-",-1),"km","")))</f>
        <v>#VALUE!</v>
      </c>
      <c r="E2" s="10">
        <f t="shared" ref="E2:E4" si="0">18+22+67+10+12</f>
        <v>129</v>
      </c>
      <c r="F2" s="13" t="e">
        <f t="shared" ref="F2:F34" si="1">G2/1.09</f>
        <v>#VALUE!</v>
      </c>
      <c r="G2" s="13" t="e">
        <f t="shared" ref="G2:G27" si="2">IF(D2&gt;=301,4.1,IF(D2&gt;=201,4.3,IF(D2&gt;=101,4.5,"")))</f>
        <v>#VALUE!</v>
      </c>
      <c r="H2" s="13" t="e">
        <f t="shared" ref="H2:H34" si="3">D2*F2</f>
        <v>#VALUE!</v>
      </c>
      <c r="I2" s="13" t="e">
        <f t="shared" ref="I2:I34" si="4">D2*G2</f>
        <v>#VALUE!</v>
      </c>
      <c r="J2" s="13" t="e">
        <f t="shared" ref="J2:J27" si="5">IF(D2&gt;=301,3.2,IF(D2&gt;=201,3.5,IF(D2&gt;=101,3.5,"")))</f>
        <v>#VALUE!</v>
      </c>
      <c r="K2" s="13" t="e">
        <f t="shared" ref="K2:K34" si="6">D2*J2</f>
        <v>#VALUE!</v>
      </c>
      <c r="L2" s="10"/>
      <c r="M2" s="10"/>
      <c r="N2" s="10"/>
    </row>
    <row r="3" ht="109.2" spans="1:14">
      <c r="A3" s="14">
        <v>83</v>
      </c>
      <c r="B3" s="15">
        <v>45948</v>
      </c>
      <c r="C3" s="16" t="s">
        <v>102</v>
      </c>
      <c r="D3" s="14" cm="1">
        <f t="array" ref="D3">SUM(VALUE(SUBSTITUTE(_xlfn.TEXTAFTER(_xlfn.TEXTSPLIT(C3,CHAR(10)),"-",-1),"km","")))</f>
        <v>378.8</v>
      </c>
      <c r="E3" s="14">
        <f t="shared" si="0"/>
        <v>129</v>
      </c>
      <c r="F3" s="17">
        <f t="shared" si="1"/>
        <v>3.76146788990826</v>
      </c>
      <c r="G3" s="17">
        <f t="shared" si="2"/>
        <v>4.1</v>
      </c>
      <c r="H3" s="9">
        <f t="shared" si="3"/>
        <v>1424.84403669725</v>
      </c>
      <c r="I3" s="9">
        <f t="shared" si="4"/>
        <v>1553.08</v>
      </c>
      <c r="J3" s="9">
        <f t="shared" si="5"/>
        <v>3.2</v>
      </c>
      <c r="K3" s="9">
        <f t="shared" si="6"/>
        <v>1212.16</v>
      </c>
      <c r="L3" s="7"/>
      <c r="M3" s="14"/>
      <c r="N3" s="14"/>
    </row>
    <row r="4" ht="109.2" spans="1:14">
      <c r="A4" s="14">
        <v>84</v>
      </c>
      <c r="B4" s="15">
        <v>45948</v>
      </c>
      <c r="C4" s="16" t="s">
        <v>103</v>
      </c>
      <c r="D4" s="14" cm="1">
        <f t="array" ref="D4">SUM(VALUE(SUBSTITUTE(_xlfn.TEXTAFTER(_xlfn.TEXTSPLIT(C4,CHAR(10)),"-",-1),"km","")))</f>
        <v>675</v>
      </c>
      <c r="E4" s="14">
        <f t="shared" si="0"/>
        <v>129</v>
      </c>
      <c r="F4" s="17">
        <f t="shared" si="1"/>
        <v>3.76146788990826</v>
      </c>
      <c r="G4" s="17">
        <f t="shared" si="2"/>
        <v>4.1</v>
      </c>
      <c r="H4" s="9">
        <f t="shared" si="3"/>
        <v>2538.99082568807</v>
      </c>
      <c r="I4" s="9">
        <f t="shared" si="4"/>
        <v>2767.5</v>
      </c>
      <c r="J4" s="9">
        <f t="shared" si="5"/>
        <v>3.2</v>
      </c>
      <c r="K4" s="9">
        <f t="shared" si="6"/>
        <v>2160</v>
      </c>
      <c r="L4" s="7"/>
      <c r="M4" s="14"/>
      <c r="N4" s="14"/>
    </row>
    <row r="5" ht="93.6" spans="1:14">
      <c r="A5" s="14">
        <v>85</v>
      </c>
      <c r="B5" s="15">
        <v>45949</v>
      </c>
      <c r="C5" s="16" t="s">
        <v>104</v>
      </c>
      <c r="D5" s="14" cm="1">
        <f t="array" ref="D5">SUM(VALUE(SUBSTITUTE(_xlfn.TEXTAFTER(_xlfn.TEXTSPLIT(C5,CHAR(10)),"-",-1),"km","")))</f>
        <v>162.4</v>
      </c>
      <c r="E5" s="14">
        <f>152+7.9+3.1+16+58</f>
        <v>237</v>
      </c>
      <c r="F5" s="17">
        <f t="shared" si="1"/>
        <v>4.12844036697248</v>
      </c>
      <c r="G5" s="17">
        <f t="shared" si="2"/>
        <v>4.5</v>
      </c>
      <c r="H5" s="9">
        <f t="shared" si="3"/>
        <v>670.45871559633</v>
      </c>
      <c r="I5" s="9">
        <f t="shared" si="4"/>
        <v>730.8</v>
      </c>
      <c r="J5" s="9">
        <f t="shared" si="5"/>
        <v>3.5</v>
      </c>
      <c r="K5" s="9">
        <f t="shared" si="6"/>
        <v>568.4</v>
      </c>
      <c r="L5" s="7"/>
      <c r="M5" s="14"/>
      <c r="N5" s="14"/>
    </row>
    <row r="6" ht="93.6" spans="1:14">
      <c r="A6" s="14">
        <v>86</v>
      </c>
      <c r="B6" s="15">
        <v>45950</v>
      </c>
      <c r="C6" s="16" t="s">
        <v>105</v>
      </c>
      <c r="D6" s="14" cm="1">
        <f t="array" ref="D6">SUM(VALUE(SUBSTITUTE(_xlfn.TEXTAFTER(_xlfn.TEXTSPLIT(C6,CHAR(10)),"-",-1),"km","")))</f>
        <v>160.7</v>
      </c>
      <c r="E6" s="14">
        <f>120+91+42+60</f>
        <v>313</v>
      </c>
      <c r="F6" s="17">
        <f t="shared" si="1"/>
        <v>4.12844036697248</v>
      </c>
      <c r="G6" s="17">
        <f t="shared" si="2"/>
        <v>4.5</v>
      </c>
      <c r="H6" s="9">
        <f t="shared" si="3"/>
        <v>663.440366972477</v>
      </c>
      <c r="I6" s="9">
        <f t="shared" si="4"/>
        <v>723.15</v>
      </c>
      <c r="J6" s="9">
        <f t="shared" si="5"/>
        <v>3.5</v>
      </c>
      <c r="K6" s="9">
        <f t="shared" si="6"/>
        <v>562.45</v>
      </c>
      <c r="L6" s="7"/>
      <c r="M6" s="14"/>
      <c r="N6" s="14"/>
    </row>
    <row r="7" ht="93.6" spans="1:14">
      <c r="A7" s="14">
        <v>87</v>
      </c>
      <c r="B7" s="15">
        <v>45950</v>
      </c>
      <c r="C7" s="16" t="s">
        <v>106</v>
      </c>
      <c r="D7" s="14" cm="1">
        <f t="array" ref="D7">SUM(VALUE(SUBSTITUTE(_xlfn.TEXTAFTER(_xlfn.TEXTSPLIT(C7,CHAR(10)),"-",-1),"km","")))</f>
        <v>222</v>
      </c>
      <c r="E7" s="14">
        <f>189+3.6+39+45</f>
        <v>276.6</v>
      </c>
      <c r="F7" s="17">
        <f t="shared" si="1"/>
        <v>3.94495412844037</v>
      </c>
      <c r="G7" s="17">
        <f t="shared" si="2"/>
        <v>4.3</v>
      </c>
      <c r="H7" s="9">
        <f t="shared" si="3"/>
        <v>875.779816513761</v>
      </c>
      <c r="I7" s="9">
        <f t="shared" si="4"/>
        <v>954.6</v>
      </c>
      <c r="J7" s="9">
        <f t="shared" si="5"/>
        <v>3.5</v>
      </c>
      <c r="K7" s="9">
        <f t="shared" si="6"/>
        <v>777</v>
      </c>
      <c r="L7" s="7"/>
      <c r="M7" s="14"/>
      <c r="N7" s="14"/>
    </row>
    <row r="8" ht="78" spans="1:14">
      <c r="A8" s="14">
        <v>88</v>
      </c>
      <c r="B8" s="15">
        <v>45950</v>
      </c>
      <c r="C8" s="16" t="s">
        <v>107</v>
      </c>
      <c r="D8" s="14" cm="1">
        <f t="array" ref="D8">SUM(VALUE(SUBSTITUTE(_xlfn.TEXTAFTER(_xlfn.TEXTSPLIT(C8,CHAR(10)),"-",-1),"km","")))</f>
        <v>180.6</v>
      </c>
      <c r="E8" s="14">
        <f>160+81</f>
        <v>241</v>
      </c>
      <c r="F8" s="17">
        <f t="shared" si="1"/>
        <v>4.12844036697248</v>
      </c>
      <c r="G8" s="17">
        <f t="shared" si="2"/>
        <v>4.5</v>
      </c>
      <c r="H8" s="9">
        <f t="shared" si="3"/>
        <v>745.596330275229</v>
      </c>
      <c r="I8" s="9">
        <f t="shared" si="4"/>
        <v>812.7</v>
      </c>
      <c r="J8" s="9">
        <f t="shared" si="5"/>
        <v>3.5</v>
      </c>
      <c r="K8" s="9">
        <f t="shared" si="6"/>
        <v>632.1</v>
      </c>
      <c r="L8" s="7"/>
      <c r="M8" s="14"/>
      <c r="N8" s="14"/>
    </row>
    <row r="9" ht="109.2" spans="1:14">
      <c r="A9" s="14">
        <v>89</v>
      </c>
      <c r="B9" s="15">
        <v>45950</v>
      </c>
      <c r="C9" s="16" t="s">
        <v>108</v>
      </c>
      <c r="D9" s="14" cm="1">
        <f t="array" ref="D9">SUM(VALUE(SUBSTITUTE(_xlfn.TEXTAFTER(_xlfn.TEXTSPLIT(C9,CHAR(10)),"-",-1),"km","")))</f>
        <v>193.7</v>
      </c>
      <c r="E9" s="14">
        <f>171+34+43</f>
        <v>248</v>
      </c>
      <c r="F9" s="17">
        <f t="shared" si="1"/>
        <v>4.12844036697248</v>
      </c>
      <c r="G9" s="17">
        <f t="shared" si="2"/>
        <v>4.5</v>
      </c>
      <c r="H9" s="9">
        <f t="shared" si="3"/>
        <v>799.678899082569</v>
      </c>
      <c r="I9" s="9">
        <f t="shared" si="4"/>
        <v>871.65</v>
      </c>
      <c r="J9" s="9">
        <f t="shared" si="5"/>
        <v>3.5</v>
      </c>
      <c r="K9" s="9">
        <f t="shared" si="6"/>
        <v>677.95</v>
      </c>
      <c r="L9" s="7"/>
      <c r="M9" s="14"/>
      <c r="N9" s="14"/>
    </row>
    <row r="10" ht="31.2" spans="1:14">
      <c r="A10" s="14">
        <v>90</v>
      </c>
      <c r="B10" s="15">
        <v>45951</v>
      </c>
      <c r="C10" s="16" t="s">
        <v>109</v>
      </c>
      <c r="D10" s="14" cm="1">
        <f t="array" ref="D10">SUM(VALUE(SUBSTITUTE(_xlfn.TEXTAFTER(_xlfn.TEXTSPLIT(C10,CHAR(10)),"-",-1),"km","")))</f>
        <v>418</v>
      </c>
      <c r="E10" s="14">
        <f>180+17+59+47</f>
        <v>303</v>
      </c>
      <c r="F10" s="17">
        <f t="shared" si="1"/>
        <v>3.76146788990826</v>
      </c>
      <c r="G10" s="17">
        <f t="shared" si="2"/>
        <v>4.1</v>
      </c>
      <c r="H10" s="9">
        <f t="shared" si="3"/>
        <v>1572.29357798165</v>
      </c>
      <c r="I10" s="9">
        <f t="shared" si="4"/>
        <v>1713.8</v>
      </c>
      <c r="J10" s="9">
        <f t="shared" si="5"/>
        <v>3.2</v>
      </c>
      <c r="K10" s="9">
        <f t="shared" si="6"/>
        <v>1337.6</v>
      </c>
      <c r="L10" s="7"/>
      <c r="M10" s="14"/>
      <c r="N10" s="14"/>
    </row>
    <row r="11" ht="78" spans="1:14">
      <c r="A11" s="14">
        <v>91</v>
      </c>
      <c r="B11" s="15">
        <v>45951</v>
      </c>
      <c r="C11" s="16" t="s">
        <v>110</v>
      </c>
      <c r="D11" s="14" cm="1">
        <f t="array" ref="D11">SUM(VALUE(SUBSTITUTE(_xlfn.TEXTAFTER(_xlfn.TEXTSPLIT(C11,CHAR(10)),"-",-1),"km","")))</f>
        <v>355</v>
      </c>
      <c r="E11" s="14">
        <f>86+10+12+10</f>
        <v>118</v>
      </c>
      <c r="F11" s="17">
        <f t="shared" si="1"/>
        <v>3.76146788990826</v>
      </c>
      <c r="G11" s="17">
        <f t="shared" si="2"/>
        <v>4.1</v>
      </c>
      <c r="H11" s="9">
        <f t="shared" si="3"/>
        <v>1335.32110091743</v>
      </c>
      <c r="I11" s="9">
        <f t="shared" si="4"/>
        <v>1455.5</v>
      </c>
      <c r="J11" s="9">
        <f t="shared" si="5"/>
        <v>3.2</v>
      </c>
      <c r="K11" s="9">
        <f t="shared" si="6"/>
        <v>1136</v>
      </c>
      <c r="L11" s="7"/>
      <c r="M11" s="14"/>
      <c r="N11" s="14"/>
    </row>
    <row r="12" ht="93.6" spans="1:14">
      <c r="A12" s="14">
        <v>92</v>
      </c>
      <c r="B12" s="15">
        <v>45951</v>
      </c>
      <c r="C12" s="16" t="s">
        <v>111</v>
      </c>
      <c r="D12" s="14" cm="1">
        <f t="array" ref="D12">SUM(VALUE(SUBSTITUTE(_xlfn.TEXTAFTER(_xlfn.TEXTSPLIT(C12,CHAR(10)),"-",-1),"km","")))</f>
        <v>551</v>
      </c>
      <c r="E12" s="14">
        <f t="shared" ref="E12:E14" si="7">42+74+65+17</f>
        <v>198</v>
      </c>
      <c r="F12" s="17">
        <f t="shared" si="1"/>
        <v>3.76146788990826</v>
      </c>
      <c r="G12" s="17">
        <f t="shared" si="2"/>
        <v>4.1</v>
      </c>
      <c r="H12" s="9">
        <f t="shared" si="3"/>
        <v>2072.56880733945</v>
      </c>
      <c r="I12" s="9">
        <f t="shared" si="4"/>
        <v>2259.1</v>
      </c>
      <c r="J12" s="9">
        <f t="shared" si="5"/>
        <v>3.2</v>
      </c>
      <c r="K12" s="9">
        <f t="shared" si="6"/>
        <v>1763.2</v>
      </c>
      <c r="L12" s="7"/>
      <c r="M12" s="14"/>
      <c r="N12" s="14"/>
    </row>
    <row r="13" ht="109.2" spans="1:14">
      <c r="A13" s="14">
        <v>93</v>
      </c>
      <c r="B13" s="15">
        <v>45951</v>
      </c>
      <c r="C13" s="16" t="s">
        <v>112</v>
      </c>
      <c r="D13" s="14" cm="1">
        <f t="array" ref="D13">SUM(VALUE(SUBSTITUTE(_xlfn.TEXTAFTER(_xlfn.TEXTSPLIT(C13,CHAR(10)),"-",-1),"km","")))</f>
        <v>484</v>
      </c>
      <c r="E13" s="14">
        <f t="shared" si="7"/>
        <v>198</v>
      </c>
      <c r="F13" s="17">
        <f t="shared" si="1"/>
        <v>3.76146788990826</v>
      </c>
      <c r="G13" s="17">
        <f t="shared" si="2"/>
        <v>4.1</v>
      </c>
      <c r="H13" s="9">
        <f t="shared" si="3"/>
        <v>1820.5504587156</v>
      </c>
      <c r="I13" s="9">
        <f t="shared" si="4"/>
        <v>1984.4</v>
      </c>
      <c r="J13" s="9">
        <f t="shared" si="5"/>
        <v>3.2</v>
      </c>
      <c r="K13" s="9">
        <f t="shared" si="6"/>
        <v>1548.8</v>
      </c>
      <c r="L13" s="7"/>
      <c r="M13" s="14"/>
      <c r="N13" s="14"/>
    </row>
    <row r="14" ht="78" spans="1:14">
      <c r="A14" s="14">
        <v>94</v>
      </c>
      <c r="B14" s="15">
        <v>45951</v>
      </c>
      <c r="C14" s="16" t="s">
        <v>113</v>
      </c>
      <c r="D14" s="14" cm="1">
        <f t="array" ref="D14">SUM(VALUE(SUBSTITUTE(_xlfn.TEXTAFTER(_xlfn.TEXTSPLIT(C14,CHAR(10)),"-",-1),"km","")))</f>
        <v>323</v>
      </c>
      <c r="E14" s="14">
        <f t="shared" si="7"/>
        <v>198</v>
      </c>
      <c r="F14" s="17">
        <f t="shared" si="1"/>
        <v>3.76146788990826</v>
      </c>
      <c r="G14" s="17">
        <f t="shared" si="2"/>
        <v>4.1</v>
      </c>
      <c r="H14" s="9">
        <f t="shared" si="3"/>
        <v>1214.95412844037</v>
      </c>
      <c r="I14" s="9">
        <f t="shared" si="4"/>
        <v>1324.3</v>
      </c>
      <c r="J14" s="9">
        <f t="shared" si="5"/>
        <v>3.2</v>
      </c>
      <c r="K14" s="9">
        <f t="shared" si="6"/>
        <v>1033.6</v>
      </c>
      <c r="L14" s="7"/>
      <c r="M14" s="14"/>
      <c r="N14" s="14"/>
    </row>
    <row r="15" ht="31.2" spans="1:14">
      <c r="A15" s="14">
        <v>95</v>
      </c>
      <c r="B15" s="15">
        <v>45951</v>
      </c>
      <c r="C15" s="16" t="s">
        <v>114</v>
      </c>
      <c r="D15" s="14" cm="1">
        <f t="array" ref="D15">SUM(VALUE(SUBSTITUTE(_xlfn.TEXTAFTER(_xlfn.TEXTSPLIT(C15,CHAR(10)),"-",-1),"km","")))</f>
        <v>319</v>
      </c>
      <c r="E15" s="14">
        <f>98+55+74+3.6+39+50</f>
        <v>319.6</v>
      </c>
      <c r="F15" s="17">
        <f t="shared" si="1"/>
        <v>3.76146788990826</v>
      </c>
      <c r="G15" s="17">
        <f t="shared" si="2"/>
        <v>4.1</v>
      </c>
      <c r="H15" s="9">
        <f t="shared" si="3"/>
        <v>1199.90825688073</v>
      </c>
      <c r="I15" s="9">
        <f t="shared" si="4"/>
        <v>1307.9</v>
      </c>
      <c r="J15" s="9">
        <f t="shared" si="5"/>
        <v>3.2</v>
      </c>
      <c r="K15" s="9">
        <f t="shared" si="6"/>
        <v>1020.8</v>
      </c>
      <c r="L15" s="7"/>
      <c r="M15" s="14"/>
      <c r="N15" s="14"/>
    </row>
    <row r="16" ht="93.6" spans="1:14">
      <c r="A16" s="14">
        <v>96</v>
      </c>
      <c r="B16" s="15">
        <v>45951</v>
      </c>
      <c r="C16" s="16" t="s">
        <v>115</v>
      </c>
      <c r="D16" s="14" cm="1">
        <f t="array" ref="D16">SUM(VALUE(SUBSTITUTE(_xlfn.TEXTAFTER(_xlfn.TEXTSPLIT(C16,CHAR(10)),"-",-1),"km","")))</f>
        <v>266</v>
      </c>
      <c r="E16" s="14">
        <f>180+16+9.5+59+47</f>
        <v>311.5</v>
      </c>
      <c r="F16" s="17">
        <f t="shared" si="1"/>
        <v>3.94495412844037</v>
      </c>
      <c r="G16" s="17">
        <f t="shared" si="2"/>
        <v>4.3</v>
      </c>
      <c r="H16" s="9">
        <f t="shared" si="3"/>
        <v>1049.35779816514</v>
      </c>
      <c r="I16" s="9">
        <f t="shared" si="4"/>
        <v>1143.8</v>
      </c>
      <c r="J16" s="9">
        <f t="shared" si="5"/>
        <v>3.5</v>
      </c>
      <c r="K16" s="9">
        <f t="shared" si="6"/>
        <v>931</v>
      </c>
      <c r="L16" s="7"/>
      <c r="M16" s="14"/>
      <c r="N16" s="14"/>
    </row>
    <row r="17" ht="14" customHeight="1" spans="1:14">
      <c r="A17" s="14">
        <v>97</v>
      </c>
      <c r="B17" s="15"/>
      <c r="C17" s="16"/>
      <c r="D17" s="14" t="e" cm="1">
        <f t="array" ref="D17">SUM(VALUE(SUBSTITUTE(_xlfn.TEXTAFTER(_xlfn.TEXTSPLIT(C17,CHAR(10)),"-",-1),"km","")))</f>
        <v>#VALUE!</v>
      </c>
      <c r="E17" s="14">
        <f>120+109+53+32</f>
        <v>314</v>
      </c>
      <c r="F17" s="17" t="e">
        <f t="shared" si="1"/>
        <v>#VALUE!</v>
      </c>
      <c r="G17" s="17" t="e">
        <f t="shared" si="2"/>
        <v>#VALUE!</v>
      </c>
      <c r="H17" s="9" t="e">
        <f t="shared" si="3"/>
        <v>#VALUE!</v>
      </c>
      <c r="I17" s="9" t="e">
        <f t="shared" si="4"/>
        <v>#VALUE!</v>
      </c>
      <c r="J17" s="9" t="e">
        <f t="shared" si="5"/>
        <v>#VALUE!</v>
      </c>
      <c r="K17" s="9" t="e">
        <f t="shared" si="6"/>
        <v>#VALUE!</v>
      </c>
      <c r="L17" s="7"/>
      <c r="M17" s="14"/>
      <c r="N17" s="14"/>
    </row>
    <row r="18" spans="1:14">
      <c r="A18" s="14">
        <v>98</v>
      </c>
      <c r="B18" s="15"/>
      <c r="C18" s="16"/>
      <c r="D18" s="14" t="e" cm="1">
        <f t="array" ref="D18">SUM(VALUE(SUBSTITUTE(_xlfn.TEXTAFTER(_xlfn.TEXTSPLIT(C18,CHAR(10)),"-",-1),"km","")))</f>
        <v>#VALUE!</v>
      </c>
      <c r="E18" s="14">
        <f>169+1.5+39+17+4.6</f>
        <v>231.1</v>
      </c>
      <c r="F18" s="17" t="e">
        <f t="shared" si="1"/>
        <v>#VALUE!</v>
      </c>
      <c r="G18" s="17" t="e">
        <f t="shared" si="2"/>
        <v>#VALUE!</v>
      </c>
      <c r="H18" s="9" t="e">
        <f t="shared" si="3"/>
        <v>#VALUE!</v>
      </c>
      <c r="I18" s="9" t="e">
        <f t="shared" si="4"/>
        <v>#VALUE!</v>
      </c>
      <c r="J18" s="9" t="e">
        <f t="shared" si="5"/>
        <v>#VALUE!</v>
      </c>
      <c r="K18" s="9" t="e">
        <f t="shared" si="6"/>
        <v>#VALUE!</v>
      </c>
      <c r="L18" s="7"/>
      <c r="M18" s="14"/>
      <c r="N18" s="14"/>
    </row>
    <row r="19" spans="1:14">
      <c r="A19" s="14">
        <v>99</v>
      </c>
      <c r="B19" s="15"/>
      <c r="C19" s="16"/>
      <c r="D19" s="14" t="e" cm="1">
        <f t="array" ref="D19">SUM(VALUE(SUBSTITUTE(_xlfn.TEXTAFTER(_xlfn.TEXTSPLIT(C19,CHAR(10)),"-",-1),"km","")))</f>
        <v>#VALUE!</v>
      </c>
      <c r="E19" s="14">
        <f t="shared" ref="E19:E34" si="8">35+67+10+12+10+6</f>
        <v>140</v>
      </c>
      <c r="F19" s="17" t="e">
        <f t="shared" si="1"/>
        <v>#VALUE!</v>
      </c>
      <c r="G19" s="17" t="e">
        <f t="shared" si="2"/>
        <v>#VALUE!</v>
      </c>
      <c r="H19" s="9" t="e">
        <f t="shared" si="3"/>
        <v>#VALUE!</v>
      </c>
      <c r="I19" s="9" t="e">
        <f t="shared" si="4"/>
        <v>#VALUE!</v>
      </c>
      <c r="J19" s="9" t="e">
        <f t="shared" si="5"/>
        <v>#VALUE!</v>
      </c>
      <c r="K19" s="9" t="e">
        <f t="shared" si="6"/>
        <v>#VALUE!</v>
      </c>
      <c r="L19" s="7"/>
      <c r="M19" s="14"/>
      <c r="N19" s="14"/>
    </row>
    <row r="20" spans="1:14">
      <c r="A20" s="14">
        <v>100</v>
      </c>
      <c r="B20" s="15"/>
      <c r="C20" s="16"/>
      <c r="D20" s="14" t="e" cm="1">
        <f t="array" ref="D20">SUM(VALUE(SUBSTITUTE(_xlfn.TEXTAFTER(_xlfn.TEXTSPLIT(C20,CHAR(10)),"-",-1),"km","")))</f>
        <v>#VALUE!</v>
      </c>
      <c r="E20" s="14">
        <f t="shared" si="8"/>
        <v>140</v>
      </c>
      <c r="F20" s="17" t="e">
        <f t="shared" si="1"/>
        <v>#VALUE!</v>
      </c>
      <c r="G20" s="17" t="e">
        <f t="shared" si="2"/>
        <v>#VALUE!</v>
      </c>
      <c r="H20" s="9" t="e">
        <f t="shared" si="3"/>
        <v>#VALUE!</v>
      </c>
      <c r="I20" s="9" t="e">
        <f t="shared" si="4"/>
        <v>#VALUE!</v>
      </c>
      <c r="J20" s="9" t="e">
        <f t="shared" si="5"/>
        <v>#VALUE!</v>
      </c>
      <c r="K20" s="9" t="e">
        <f t="shared" si="6"/>
        <v>#VALUE!</v>
      </c>
      <c r="L20" s="7"/>
      <c r="M20" s="14"/>
      <c r="N20" s="14"/>
    </row>
    <row r="21" spans="1:14">
      <c r="A21" s="14">
        <v>101</v>
      </c>
      <c r="B21" s="15"/>
      <c r="C21" s="16"/>
      <c r="D21" s="14" t="e" cm="1">
        <f t="array" ref="D21">SUM(VALUE(SUBSTITUTE(_xlfn.TEXTAFTER(_xlfn.TEXTSPLIT(C21,CHAR(10)),"-",-1),"km","")))</f>
        <v>#VALUE!</v>
      </c>
      <c r="E21" s="14">
        <f t="shared" si="8"/>
        <v>140</v>
      </c>
      <c r="F21" s="17" t="e">
        <f t="shared" si="1"/>
        <v>#VALUE!</v>
      </c>
      <c r="G21" s="17" t="e">
        <f t="shared" si="2"/>
        <v>#VALUE!</v>
      </c>
      <c r="H21" s="9" t="e">
        <f t="shared" si="3"/>
        <v>#VALUE!</v>
      </c>
      <c r="I21" s="9" t="e">
        <f t="shared" si="4"/>
        <v>#VALUE!</v>
      </c>
      <c r="J21" s="9" t="e">
        <f t="shared" si="5"/>
        <v>#VALUE!</v>
      </c>
      <c r="K21" s="9" t="e">
        <f t="shared" si="6"/>
        <v>#VALUE!</v>
      </c>
      <c r="L21" s="7"/>
      <c r="M21" s="14"/>
      <c r="N21" s="14"/>
    </row>
    <row r="22" spans="1:14">
      <c r="A22" s="14">
        <v>102</v>
      </c>
      <c r="B22" s="15"/>
      <c r="C22" s="16"/>
      <c r="D22" s="14" t="e" cm="1">
        <f t="array" ref="D22">SUM(VALUE(SUBSTITUTE(_xlfn.TEXTAFTER(_xlfn.TEXTSPLIT(C22,CHAR(10)),"-",-1),"km","")))</f>
        <v>#VALUE!</v>
      </c>
      <c r="E22" s="14">
        <f t="shared" si="8"/>
        <v>140</v>
      </c>
      <c r="F22" s="17" t="e">
        <f t="shared" si="1"/>
        <v>#VALUE!</v>
      </c>
      <c r="G22" s="17" t="e">
        <f t="shared" si="2"/>
        <v>#VALUE!</v>
      </c>
      <c r="H22" s="9" t="e">
        <f t="shared" si="3"/>
        <v>#VALUE!</v>
      </c>
      <c r="I22" s="9" t="e">
        <f t="shared" si="4"/>
        <v>#VALUE!</v>
      </c>
      <c r="J22" s="9" t="e">
        <f t="shared" si="5"/>
        <v>#VALUE!</v>
      </c>
      <c r="K22" s="9" t="e">
        <f t="shared" si="6"/>
        <v>#VALUE!</v>
      </c>
      <c r="L22" s="7"/>
      <c r="M22" s="14"/>
      <c r="N22" s="14"/>
    </row>
    <row r="23" spans="1:14">
      <c r="A23" s="14">
        <v>103</v>
      </c>
      <c r="B23" s="15"/>
      <c r="C23" s="16"/>
      <c r="D23" s="14" t="e" cm="1">
        <f t="array" ref="D23">SUM(VALUE(SUBSTITUTE(_xlfn.TEXTAFTER(_xlfn.TEXTSPLIT(C23,CHAR(10)),"-",-1),"km","")))</f>
        <v>#VALUE!</v>
      </c>
      <c r="E23" s="14">
        <f t="shared" si="8"/>
        <v>140</v>
      </c>
      <c r="F23" s="17" t="e">
        <f t="shared" si="1"/>
        <v>#VALUE!</v>
      </c>
      <c r="G23" s="17" t="e">
        <f t="shared" si="2"/>
        <v>#VALUE!</v>
      </c>
      <c r="H23" s="9" t="e">
        <f t="shared" si="3"/>
        <v>#VALUE!</v>
      </c>
      <c r="I23" s="9" t="e">
        <f t="shared" si="4"/>
        <v>#VALUE!</v>
      </c>
      <c r="J23" s="9" t="e">
        <f t="shared" si="5"/>
        <v>#VALUE!</v>
      </c>
      <c r="K23" s="9" t="e">
        <f t="shared" si="6"/>
        <v>#VALUE!</v>
      </c>
      <c r="L23" s="7"/>
      <c r="M23" s="14"/>
      <c r="N23" s="14"/>
    </row>
    <row r="24" spans="1:14">
      <c r="A24" s="14">
        <v>104</v>
      </c>
      <c r="B24" s="15"/>
      <c r="C24" s="16"/>
      <c r="D24" s="14" t="e" cm="1">
        <f t="array" ref="D24">SUM(VALUE(SUBSTITUTE(_xlfn.TEXTAFTER(_xlfn.TEXTSPLIT(C24,CHAR(10)),"-",-1),"km","")))</f>
        <v>#VALUE!</v>
      </c>
      <c r="E24" s="14">
        <f t="shared" si="8"/>
        <v>140</v>
      </c>
      <c r="F24" s="17" t="e">
        <f t="shared" si="1"/>
        <v>#VALUE!</v>
      </c>
      <c r="G24" s="17" t="e">
        <f t="shared" si="2"/>
        <v>#VALUE!</v>
      </c>
      <c r="H24" s="9" t="e">
        <f t="shared" si="3"/>
        <v>#VALUE!</v>
      </c>
      <c r="I24" s="9" t="e">
        <f t="shared" si="4"/>
        <v>#VALUE!</v>
      </c>
      <c r="J24" s="9" t="e">
        <f t="shared" si="5"/>
        <v>#VALUE!</v>
      </c>
      <c r="K24" s="9" t="e">
        <f t="shared" si="6"/>
        <v>#VALUE!</v>
      </c>
      <c r="L24" s="7"/>
      <c r="M24" s="14"/>
      <c r="N24" s="14"/>
    </row>
    <row r="25" spans="1:14">
      <c r="A25" s="14">
        <v>105</v>
      </c>
      <c r="B25" s="15"/>
      <c r="C25" s="16"/>
      <c r="D25" s="14" t="e" cm="1">
        <f t="array" ref="D25">SUM(VALUE(SUBSTITUTE(_xlfn.TEXTAFTER(_xlfn.TEXTSPLIT(C25,CHAR(10)),"-",-1),"km","")))</f>
        <v>#VALUE!</v>
      </c>
      <c r="E25" s="14">
        <f t="shared" si="8"/>
        <v>140</v>
      </c>
      <c r="F25" s="17" t="e">
        <f t="shared" si="1"/>
        <v>#VALUE!</v>
      </c>
      <c r="G25" s="17" t="e">
        <f t="shared" si="2"/>
        <v>#VALUE!</v>
      </c>
      <c r="H25" s="9" t="e">
        <f t="shared" si="3"/>
        <v>#VALUE!</v>
      </c>
      <c r="I25" s="9" t="e">
        <f t="shared" si="4"/>
        <v>#VALUE!</v>
      </c>
      <c r="J25" s="9" t="e">
        <f t="shared" si="5"/>
        <v>#VALUE!</v>
      </c>
      <c r="K25" s="9" t="e">
        <f t="shared" si="6"/>
        <v>#VALUE!</v>
      </c>
      <c r="L25" s="7"/>
      <c r="M25" s="14"/>
      <c r="N25" s="14"/>
    </row>
    <row r="26" spans="1:14">
      <c r="A26" s="14">
        <v>106</v>
      </c>
      <c r="B26" s="15"/>
      <c r="C26" s="16"/>
      <c r="D26" s="14" t="e" cm="1">
        <f t="array" ref="D26">SUM(VALUE(SUBSTITUTE(_xlfn.TEXTAFTER(_xlfn.TEXTSPLIT(C26,CHAR(10)),"-",-1),"km","")))</f>
        <v>#VALUE!</v>
      </c>
      <c r="E26" s="14">
        <f t="shared" si="8"/>
        <v>140</v>
      </c>
      <c r="F26" s="17" t="e">
        <f t="shared" si="1"/>
        <v>#VALUE!</v>
      </c>
      <c r="G26" s="17" t="e">
        <f t="shared" si="2"/>
        <v>#VALUE!</v>
      </c>
      <c r="H26" s="9" t="e">
        <f t="shared" si="3"/>
        <v>#VALUE!</v>
      </c>
      <c r="I26" s="9" t="e">
        <f t="shared" si="4"/>
        <v>#VALUE!</v>
      </c>
      <c r="J26" s="9" t="e">
        <f t="shared" si="5"/>
        <v>#VALUE!</v>
      </c>
      <c r="K26" s="9" t="e">
        <f t="shared" si="6"/>
        <v>#VALUE!</v>
      </c>
      <c r="L26" s="7"/>
      <c r="M26" s="14"/>
      <c r="N26" s="14"/>
    </row>
    <row r="27" spans="1:14">
      <c r="A27" s="14">
        <v>107</v>
      </c>
      <c r="B27" s="15"/>
      <c r="C27" s="16"/>
      <c r="D27" s="14" t="e" cm="1">
        <f t="array" ref="D27">SUM(VALUE(SUBSTITUTE(_xlfn.TEXTAFTER(_xlfn.TEXTSPLIT(C27,CHAR(10)),"-",-1),"km","")))</f>
        <v>#VALUE!</v>
      </c>
      <c r="E27" s="14">
        <f t="shared" si="8"/>
        <v>140</v>
      </c>
      <c r="F27" s="17" t="e">
        <f t="shared" si="1"/>
        <v>#VALUE!</v>
      </c>
      <c r="G27" s="17" t="e">
        <f t="shared" si="2"/>
        <v>#VALUE!</v>
      </c>
      <c r="H27" s="9" t="e">
        <f t="shared" si="3"/>
        <v>#VALUE!</v>
      </c>
      <c r="I27" s="9" t="e">
        <f t="shared" si="4"/>
        <v>#VALUE!</v>
      </c>
      <c r="J27" s="9" t="e">
        <f t="shared" si="5"/>
        <v>#VALUE!</v>
      </c>
      <c r="K27" s="9" t="e">
        <f t="shared" si="6"/>
        <v>#VALUE!</v>
      </c>
      <c r="L27" s="7"/>
      <c r="M27" s="14"/>
      <c r="N27" s="14"/>
    </row>
    <row r="28" spans="1:14">
      <c r="A28" s="14">
        <v>108</v>
      </c>
      <c r="B28" s="15"/>
      <c r="C28" s="16"/>
      <c r="D28" s="14" t="e" cm="1">
        <f t="array" ref="D28">SUM(VALUE(SUBSTITUTE(_xlfn.TEXTAFTER(_xlfn.TEXTSPLIT(C28,CHAR(10)),"-",-1),"km","")))</f>
        <v>#VALUE!</v>
      </c>
      <c r="E28" s="14">
        <f t="shared" si="8"/>
        <v>140</v>
      </c>
      <c r="F28" s="17" t="e">
        <f t="shared" si="1"/>
        <v>#VALUE!</v>
      </c>
      <c r="G28" s="17" t="e">
        <f t="shared" ref="G28:G34" si="9">IF(D28&gt;=301,4.1,IF(D28&gt;=201,4.3,IF(D28&gt;=101,4.5,"")))</f>
        <v>#VALUE!</v>
      </c>
      <c r="H28" s="9" t="e">
        <f t="shared" si="3"/>
        <v>#VALUE!</v>
      </c>
      <c r="I28" s="9" t="e">
        <f t="shared" si="4"/>
        <v>#VALUE!</v>
      </c>
      <c r="J28" s="9" t="e">
        <f t="shared" ref="J28:J34" si="10">IF(D28&gt;=301,3.2,IF(D28&gt;=201,3.5,IF(D28&gt;=101,3.5,"")))</f>
        <v>#VALUE!</v>
      </c>
      <c r="K28" s="9" t="e">
        <f t="shared" si="6"/>
        <v>#VALUE!</v>
      </c>
      <c r="L28" s="7"/>
      <c r="M28" s="14"/>
      <c r="N28" s="14"/>
    </row>
    <row r="29" spans="1:14">
      <c r="A29" s="14">
        <v>109</v>
      </c>
      <c r="B29" s="15"/>
      <c r="C29" s="16"/>
      <c r="D29" s="14" t="e" cm="1">
        <f t="array" ref="D29">SUM(VALUE(SUBSTITUTE(_xlfn.TEXTAFTER(_xlfn.TEXTSPLIT(C29,CHAR(10)),"-",-1),"km","")))</f>
        <v>#VALUE!</v>
      </c>
      <c r="E29" s="14">
        <f t="shared" si="8"/>
        <v>140</v>
      </c>
      <c r="F29" s="17" t="e">
        <f t="shared" si="1"/>
        <v>#VALUE!</v>
      </c>
      <c r="G29" s="17" t="e">
        <f t="shared" si="9"/>
        <v>#VALUE!</v>
      </c>
      <c r="H29" s="9" t="e">
        <f t="shared" si="3"/>
        <v>#VALUE!</v>
      </c>
      <c r="I29" s="9" t="e">
        <f t="shared" si="4"/>
        <v>#VALUE!</v>
      </c>
      <c r="J29" s="9" t="e">
        <f t="shared" si="10"/>
        <v>#VALUE!</v>
      </c>
      <c r="K29" s="9" t="e">
        <f t="shared" si="6"/>
        <v>#VALUE!</v>
      </c>
      <c r="L29" s="7"/>
      <c r="M29" s="14"/>
      <c r="N29" s="14"/>
    </row>
    <row r="30" spans="1:14">
      <c r="A30" s="14">
        <v>110</v>
      </c>
      <c r="B30" s="15"/>
      <c r="C30" s="16"/>
      <c r="D30" s="14" t="e" cm="1">
        <f t="array" ref="D30">SUM(VALUE(SUBSTITUTE(_xlfn.TEXTAFTER(_xlfn.TEXTSPLIT(C30,CHAR(10)),"-",-1),"km","")))</f>
        <v>#VALUE!</v>
      </c>
      <c r="E30" s="14">
        <f t="shared" si="8"/>
        <v>140</v>
      </c>
      <c r="F30" s="17" t="e">
        <f t="shared" si="1"/>
        <v>#VALUE!</v>
      </c>
      <c r="G30" s="17" t="e">
        <f t="shared" si="9"/>
        <v>#VALUE!</v>
      </c>
      <c r="H30" s="9" t="e">
        <f t="shared" si="3"/>
        <v>#VALUE!</v>
      </c>
      <c r="I30" s="9" t="e">
        <f t="shared" si="4"/>
        <v>#VALUE!</v>
      </c>
      <c r="J30" s="9" t="e">
        <f t="shared" si="10"/>
        <v>#VALUE!</v>
      </c>
      <c r="K30" s="9" t="e">
        <f t="shared" si="6"/>
        <v>#VALUE!</v>
      </c>
      <c r="L30" s="7"/>
      <c r="M30" s="14"/>
      <c r="N30" s="14"/>
    </row>
    <row r="31" spans="1:14">
      <c r="A31" s="14">
        <v>111</v>
      </c>
      <c r="B31" s="15"/>
      <c r="C31" s="16"/>
      <c r="D31" s="14" t="e" cm="1">
        <f t="array" ref="D31">SUM(VALUE(SUBSTITUTE(_xlfn.TEXTAFTER(_xlfn.TEXTSPLIT(C31,CHAR(10)),"-",-1),"km","")))</f>
        <v>#VALUE!</v>
      </c>
      <c r="E31" s="14">
        <f t="shared" si="8"/>
        <v>140</v>
      </c>
      <c r="F31" s="17" t="e">
        <f t="shared" si="1"/>
        <v>#VALUE!</v>
      </c>
      <c r="G31" s="17" t="e">
        <f t="shared" si="9"/>
        <v>#VALUE!</v>
      </c>
      <c r="H31" s="9" t="e">
        <f t="shared" si="3"/>
        <v>#VALUE!</v>
      </c>
      <c r="I31" s="9" t="e">
        <f t="shared" si="4"/>
        <v>#VALUE!</v>
      </c>
      <c r="J31" s="9" t="e">
        <f t="shared" si="10"/>
        <v>#VALUE!</v>
      </c>
      <c r="K31" s="9" t="e">
        <f t="shared" si="6"/>
        <v>#VALUE!</v>
      </c>
      <c r="L31" s="7"/>
      <c r="M31" s="14"/>
      <c r="N31" s="14"/>
    </row>
    <row r="32" spans="1:14">
      <c r="A32" s="14">
        <v>112</v>
      </c>
      <c r="B32" s="15"/>
      <c r="C32" s="16"/>
      <c r="D32" s="14" t="e" cm="1">
        <f t="array" ref="D32">SUM(VALUE(SUBSTITUTE(_xlfn.TEXTAFTER(_xlfn.TEXTSPLIT(C32,CHAR(10)),"-",-1),"km","")))</f>
        <v>#VALUE!</v>
      </c>
      <c r="E32" s="14">
        <f t="shared" si="8"/>
        <v>140</v>
      </c>
      <c r="F32" s="17" t="e">
        <f t="shared" si="1"/>
        <v>#VALUE!</v>
      </c>
      <c r="G32" s="17" t="e">
        <f t="shared" si="9"/>
        <v>#VALUE!</v>
      </c>
      <c r="H32" s="9" t="e">
        <f t="shared" si="3"/>
        <v>#VALUE!</v>
      </c>
      <c r="I32" s="9" t="e">
        <f t="shared" si="4"/>
        <v>#VALUE!</v>
      </c>
      <c r="J32" s="9" t="e">
        <f t="shared" si="10"/>
        <v>#VALUE!</v>
      </c>
      <c r="K32" s="9" t="e">
        <f t="shared" si="6"/>
        <v>#VALUE!</v>
      </c>
      <c r="L32" s="7"/>
      <c r="M32" s="14"/>
      <c r="N32" s="14"/>
    </row>
    <row r="33" spans="1:14">
      <c r="A33" s="14">
        <v>113</v>
      </c>
      <c r="B33" s="15"/>
      <c r="C33" s="16"/>
      <c r="D33" s="14" t="e" cm="1">
        <f t="array" ref="D33">SUM(VALUE(SUBSTITUTE(_xlfn.TEXTAFTER(_xlfn.TEXTSPLIT(C33,CHAR(10)),"-",-1),"km","")))</f>
        <v>#VALUE!</v>
      </c>
      <c r="E33" s="14">
        <f t="shared" si="8"/>
        <v>140</v>
      </c>
      <c r="F33" s="17" t="e">
        <f t="shared" si="1"/>
        <v>#VALUE!</v>
      </c>
      <c r="G33" s="17" t="e">
        <f t="shared" si="9"/>
        <v>#VALUE!</v>
      </c>
      <c r="H33" s="9" t="e">
        <f t="shared" si="3"/>
        <v>#VALUE!</v>
      </c>
      <c r="I33" s="9" t="e">
        <f t="shared" si="4"/>
        <v>#VALUE!</v>
      </c>
      <c r="J33" s="9" t="e">
        <f t="shared" si="10"/>
        <v>#VALUE!</v>
      </c>
      <c r="K33" s="9" t="e">
        <f t="shared" si="6"/>
        <v>#VALUE!</v>
      </c>
      <c r="L33" s="7"/>
      <c r="M33" s="14"/>
      <c r="N33" s="14"/>
    </row>
    <row r="34" spans="1:14">
      <c r="A34" s="14">
        <v>114</v>
      </c>
      <c r="B34" s="15"/>
      <c r="C34" s="16"/>
      <c r="D34" s="14" t="e" cm="1">
        <f t="array" ref="D34">SUM(VALUE(SUBSTITUTE(_xlfn.TEXTAFTER(_xlfn.TEXTSPLIT(C34,CHAR(10)),"-",-1),"km","")))</f>
        <v>#VALUE!</v>
      </c>
      <c r="E34" s="14">
        <f t="shared" si="8"/>
        <v>140</v>
      </c>
      <c r="F34" s="17" t="e">
        <f t="shared" si="1"/>
        <v>#VALUE!</v>
      </c>
      <c r="G34" s="17" t="e">
        <f t="shared" si="9"/>
        <v>#VALUE!</v>
      </c>
      <c r="H34" s="9" t="e">
        <f t="shared" si="3"/>
        <v>#VALUE!</v>
      </c>
      <c r="I34" s="9" t="e">
        <f t="shared" si="4"/>
        <v>#VALUE!</v>
      </c>
      <c r="J34" s="9" t="e">
        <f t="shared" si="10"/>
        <v>#VALUE!</v>
      </c>
      <c r="K34" s="9" t="e">
        <f t="shared" si="6"/>
        <v>#VALUE!</v>
      </c>
      <c r="L34" s="7"/>
      <c r="M34" s="14"/>
      <c r="N34" s="14"/>
    </row>
  </sheetData>
  <autoFilter xmlns:etc="http://www.wps.cn/officeDocument/2017/etCustomData" ref="A1:R34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(3)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luming2</cp:lastModifiedBy>
  <dcterms:created xsi:type="dcterms:W3CDTF">2025-07-01T12:54:00Z</dcterms:created>
  <dcterms:modified xsi:type="dcterms:W3CDTF">2025-12-30T09:37:39Z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BF9BB876009F43EA88AC294DF1BA5972_13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