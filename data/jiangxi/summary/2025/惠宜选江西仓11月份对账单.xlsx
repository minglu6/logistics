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 (3)" sheetId="1" r:id="rId1"/>
    <sheet name="Sheet1 (2)" sheetId="2" r:id="rId2"/>
  </sheets>
  <definedNames>
    <definedName name="_xlnm._FilterDatabase" localSheetId="0" hidden="1">'Sheet1 (3)'!$A$1:$Q$95</definedName>
    <definedName name="_xlnm._FilterDatabase" localSheetId="1" hidden="1">'Sheet1 (2)'!$A$1:$R$34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<sst xmlns="http://schemas.openxmlformats.org/spreadsheetml/2006/main" count="230" uniqueCount="129">
  <si>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</si>
  <si>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</si>
  <si>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</si>
  <si>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</si>
  <si>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</si>
  <si>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</si>
  <si>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</si>
  <si>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</si>
  <si>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</si>
  <si>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</si>
  <si>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</si>
  <si>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</si>
  <si>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共橙-站式超市(抚州乐安大道店)-148km
共橙一站式超市(永丰欧阳修大道店)-50km
共橙一站式超市(兴国县将军大道店)-147km
共橙-站式超市(于都杨公路店)-86km
共橙一站式超市(宁都县登峰大道店)-95km</t>
  </si>
  <si>
    <t>崔现明</t>
  </si>
  <si>
    <t>共橙一站式超市(金溪县秀谷西大道店)-158km
共橙-站式超市(宜黄县凤凰路店)-92km
共橙一站式超市(南城登高路店)-75km
共橙-站式超市(黎川杏林路店)-60km
共橙一站式超市(南丰南广路店)-59km
共橙-站式超市(广昌站前路店)-50km</t>
  </si>
  <si>
    <t>上官斌</t>
  </si>
  <si>
    <t>共橙-站式超市(进贤昌盛路店)-79km
惠宜选超市(弋阳县梅山路店)-134km
共橙-站式超市(横峰兴安大道店)-19km
惠宜选-上饶吾悦广场店-35km
惠宜选-上饶广丰店-31km
共橙-站式超市(玉山三清大道店)-33km</t>
  </si>
  <si>
    <t>吕信</t>
  </si>
  <si>
    <t>共橙一站式超市(赣县梅林大街店)-377km
共橙-站式超市(赣州五洲大道店)-10km
共橙一站式超市(赣江东江源大道店)-8.8km
共橙-站式超市(南康蓝田大道店)-31km</t>
  </si>
  <si>
    <t>徐高浪</t>
  </si>
  <si>
    <t>共橙-站式超市(鄱阳锦宇大道店)-161km
共橙一站式超市(景德镇紫晶路店)-82km
共橙一站式超市( 景德镇翠云路店)-10km
共橙-站式超市(浮梁县新昌北路店)-13km</t>
  </si>
  <si>
    <t>邓黎明</t>
  </si>
  <si>
    <t>共橙一站式超市(万载县将军西大道店)-153km</t>
  </si>
  <si>
    <t>黄张前</t>
  </si>
  <si>
    <t>共橙-站式超市(南昌云飞路店)-36km
共橙一站式超市(南昌安宝大道店)-22km
厉臣-宜春市上高店-131km
共橙-站式超市(万载县康乐大道店)-56km</t>
  </si>
  <si>
    <t>章列斌</t>
  </si>
  <si>
    <t>共橙-站式超市(南昌长富大道店)-20km
共橙一站式超市(九江花溪路店)-129km
共橙-站式超市(九江浔阳东路店)-10km
共橙-站式超市(湖口渊明路店)-28km
厉臣便利(彭泽县龙兴路店)-34km</t>
  </si>
  <si>
    <t>共橙-站式超市(南昌小洲路店)-35km
共橙一站式超市(南昌迎宾中大道店)-8.7km
共橙-站式超市(南昌京东大道店)-25km
共橙-站式超市(庐山玉帘路店)-136km
共橙一站式超市(庐山星光大道店)-1.5km
厉臣-九江市都昌东风大道店-49km</t>
  </si>
  <si>
    <t>崔现国</t>
  </si>
  <si>
    <t>共橙-站式超市(南昌招贤大道店)-16km
共橙一站式超市(南昌锦江路店)-16km
共橙-站式超市(瑞昌赤乌大道店)-148km
共橙-站式超市(瑞昌人民北路店)-2.1km</t>
  </si>
  <si>
    <t>共橙-站式超市(南昌东祥路店)-32km
共橙超市-南昌东湖店-16km
共橙-站式超市(南昌解放西路店)-9.2km
共橙-站式超市(南昌安宝大道店)-21km
共橙一站式超市(进贤吴万街店)-44km
共橙-站式超市(进贤昌盛路店)-2.6km</t>
  </si>
  <si>
    <t>共橙一站式超市(吉安县赣江大道店)-214km
共橙-站式超市(泰和澄江大道店)-40km
共橙一站式超市(永新湘赣大道店)-89km
共橙-站式超市(井冈山步云山路店)-45km
共橙-站式超市(遂川川江南路店)-97km</t>
  </si>
  <si>
    <t>共橙-站式超市(吉水万里大道店)-193km
共橙一站式超市(兴国县将军大道店)-146km
共橙-站式超市(赣县梅林大街店)-67km
共橙-站式超市(赣州五洲大道店)-10km</t>
  </si>
  <si>
    <t>共橙-站式超市(南昌东祥路店)-32km
共橙一站式超市(南城登高路店)-157km
共橙-站式超市(黎川杏林路店)-58km
共橙-站式超市(南丰南广路店)-59km
共橙-站式超市(广昌站前路店)-50km</t>
  </si>
  <si>
    <t>共橙一站式超市(宜黄县凤凰路店)-176km
共橙一站式超市(永丰欧阳修大道店)-108km
共橙一站式超市(于都杨公路店)-212km
共橙-站式超市(瑞金龙珠路店)-81km
共橙一站式超市(会昌兴会路店)-43km</t>
  </si>
  <si>
    <t>厉臣便利店(信丰深圳大道店)-419km</t>
  </si>
  <si>
    <t>刘绥高</t>
  </si>
  <si>
    <t>共橙一站式超市（南昌云飞路店）-36km
共橙一站式超市（南昌安宝大道店）-19km
共橙一站式超市（抚州金巢大道店）-90km
共橙一站式超市（抚州迎宾大道店）-3.3km
共橙一站式超市（抚州玉茗路店）-7km
共橙一站式超市（崇仁站前路店）-34km</t>
  </si>
  <si>
    <t>共橙一站式超市（九江庐山西路店）-131km
惠宜选-九江市柴桑店-1.7km
共橙一站式超市（九江花溪店）-17km
共橙一站式超市（九江浔阳东路店）-10km
共橙一站式超市（湖口渊明路店）-28km
厉臣便利（彭泽县龙兴路店）-35km</t>
  </si>
  <si>
    <t>共橙超市-南昌东湖店-46km
共橙一站式超市（南昌京东大道店）-9.1km
共橙一站式超市（庐山玉帘路店）-140km
共橙一站式超市（庐山星光大道店）-1.5km
厉臣-九江市都昌东风大道店-49km</t>
  </si>
  <si>
    <t>共橙一站式超市（南昌锦江路店）-28km
共橙一站式超市 (永修建昌大道店)-43km
共橙一站式超市（共青城南湖大道店）-34km
共橙一站式超市 (瑞昌赤乌大道店)-76km
共橙一站式超市（瑞昌人民北路店）-2.6km</t>
  </si>
  <si>
    <t>外调</t>
  </si>
  <si>
    <t>共橙一站式超市（新干县金川大道店）-123km
共橙一站式超市（兴国县将军大道店）-211km
共橙一站式超市（于都杨公路店）-86km
共橙一站式超市（赣县梅林大街店）-51km
共橙一站式超市（赣州五洲大道店）-10km
共橙一站式超市（赣州迎宾大道店）-12km</t>
  </si>
  <si>
    <t>共橙一站式超市（南昌长富大道店）-19km
共橙一站式超市（永丰欧阳修大道店）-205km
共橙一站式超市（宁都县登峰大道店）-148km
共橙一站式超市（瑞金龙珠路店）-75km
共橙一站式超市（会昌兴会路店）-43km
共橙一站式超市（安远腾飞路店）-103km
共橙一站式超市（定南龙亭路店）-67km
共橙一站式超市（龙南嘉吉路店）-34km</t>
  </si>
  <si>
    <t>共橙一站式超市（南昌解放西路店）-56km
共橙一站式超市（南昌京东大道店）-9.8km
共橙一站式超市（余干县世纪大道店）-89km
共橙一站式超市（万年建德大街店）-42km
共橙一站式超市（德兴滨河大道店）-86km
惠宜选 - 江西上饶市婺源店-61km</t>
  </si>
  <si>
    <t>共橙一站式超市 (南昌招贤大道店)-16km
共橙一站式超市 (安义学府大道店)-39km
共橙一站式超市（奉新县迎宾大道店）-31km
共橙一站式超市（靖安清华大道店）-21km
共橙一站式超市（武宁月山路店）-97km
惠宜选 - 九江市修水店-81km
共橙一站式超市（修水县龙井路店）-6.3km</t>
  </si>
  <si>
    <t>共橙一站式超市（丰城府佑东路店）-61km
共橙一站式超市（樟树药都路店）-29km
共橙一站式超市（新余中山路店）-75km
共橙一站式超市（新余抱石大道店）-4.6km
共橙一站式超市（新余市青年路店）-5.4km
共橙一站式超市（分宜县天工南大道店）-29km</t>
  </si>
  <si>
    <t>共橙超市-南昌东湖店-46km
共橙一站式超市（九江庐山西路店）-143km
惠宜选-九江市柴桑店-1.7km
共橙一站式超市（九江花溪路店）-17km
共橙一站式超市（九江浔阳东路店）-10km
共橙一站式超市（湖口渊明路店）-28km
厉臣便利（彭泽县龙兴路店）-35km</t>
  </si>
  <si>
    <t>共橙一站式超市（南昌东祥路店）-32km
共橙一站式超市（南昌小洲路店）-5.2km
共橙一站式超市（新干县金川大道店）-123km
共橙一站式超市（永丰欧阳修大道店）-61km
共橙一站式超市（抚州乐安大道店）-50km
共橙一站式超市（宜黄县凤凰路店）-58km</t>
  </si>
  <si>
    <t>共橙一站式超市（兴国县将军大道店）-319km
共橙一站式超市（于都杨公路店）-86km
共橙一站式超市（赣县梅林大街店）-51km
共橙一站式超市（赣州五洲大道店）-10km
共橙一站式超市（赣江东江源大道店）-8.8km
共橙一站式超市（赣州迎宾大道店）-8.7km</t>
  </si>
  <si>
    <t>共橙一站式超市（宁都县登峰大道店）-293km
共橙一站式超市（瑞金龙珠路店）-75km
共橙一站式超市（会昌兴会路店）-43km
共橙一站式超市（安远腾飞路店）-103km
共橙一站式超市（定南龙亭路店）-67km
共橙一站式超市（龙南嘉吉路店）-34km
共橙一站式超市（全南滨江路店）-39km</t>
  </si>
  <si>
    <t>共橙一站式超市（南昌明月山大道店）-7.4km
共橙一站式超市（万载县康乐大道店）-154km
共橙一站式超市（万载县将军西大道店）-2.3km
共橙一站式超市（上栗李畋北大道店）-83km
共橙一站式超市（萍乡砚田路店）-37km</t>
  </si>
  <si>
    <t>共橙一站式超市（南昌国威路店）-52km
共橙一站式超市（南昌京东大道店）-6.1km
共橙一站式超市（南昌安宝大道店）-31km
共橙一站式超市（丰城府佑东路店）-50km</t>
  </si>
  <si>
    <t>共橙一站式超市（九江花溪路店）-145km
共橙一站式超市（九江浔阳东路店）-10km
共橙一站式超市（湖口渊明路店）-30km
厉臣便利（彭泽县龙兴路店）-34km</t>
  </si>
  <si>
    <t>共橙一站式超市（南昌长富大道店）-19km
共橙一站式超市（南昌锦江路店）-8.5km
共橙一站式超市 (瑞昌赤乌大道店)-148km
共橙一站式超市（瑞昌人民北路店）-2.1km</t>
  </si>
  <si>
    <t>共橙一站式超市（南昌经开区庐山南大道店）-26km
共橙一站式超市（九江庐山西路店）-114km
惠宜选-九江市柴桑店-4km</t>
  </si>
  <si>
    <t>共橙一站式超市（南昌解放西路店）-56km
共橙一站式超市（九江八里湖大道店）-150km</t>
  </si>
  <si>
    <t>共橙一站式超市 (南昌招贤大道店)-16km
共橙一站式超市（宁都县登峰大道店）-303km
共橙一站式超市（于都杨公路店）-93km
共橙一站式超市（赣江东江源大道店）-65km</t>
  </si>
  <si>
    <t>共橙一站式超市（新干县金川大道店）-123km
共橙一站式超市（泰和澄江大道店）-130km
共橙一站式超市（永新湘赣大道店）-86km
共橙一站式超市（井冈山步云山路店）-45km
共橙一站式超市（遂川川江南路店）-97km</t>
  </si>
  <si>
    <t>共橙一站式超市（瑞金龙珠路店）-366km
共橙一站式超市（会昌兴会路店）-43km
共橙一站式超市（安远腾飞路店）-103km
共橙一站式超市（定南龙亭路店）-67km
共橙一站式超市（龙南嘉吉路店）-34km</t>
  </si>
  <si>
    <t>厉臣-宜春市上高店-94km
共橙一站式超市（宜丰县永康路店）-23km
共橙一站式超市（宜丰县新昌中路店）-1.9km
共橙一站式超市（万载县康乐大道店）-56km
共橙一站式超市（上栗李畋北大道店）-85km
共橙一站式超市（萍乡砚田路店）-37km</t>
  </si>
  <si>
    <t>共橙一站式超市（南昌明月山大道店）-7.4km
共橙一站式超市（抚州金巢大道店）-116km
共橙一站式超市（抚州迎宾大道店）-3.5km
共橙一站式超市（抚州玉茗路店）-6.4km
共橙一站式超市（崇仁站前路店）-34km</t>
  </si>
  <si>
    <t>共橙一站式超市 (永修建昌大道店)-59km
共橙一站式超市（九江八里湖大道店）-90km
共橙一站式超市（九江花溪路店）-7km
共橙一站式超市（九江浔阳东路店）-10km
共橙一站式超市（湖口渊明路店）-30km
厉臣便利（彭泽县龙兴路店）-34km</t>
  </si>
  <si>
    <t>共橙一站式超市（南昌国威路店）-52km
共橙一站式超市（南昌锦江路店）-66km
共橙一站式超市（庐山玉帘路店）-122km
共橙一站式超市（庐山星光大道店）-1.5km
厉臣-九江市都昌东风大道店-49km</t>
  </si>
  <si>
    <t>共橙一站式超市（吉安青原大道店）-211km
共橙一站式超市（吉安县赣江大道店）-15km
共橙一站式超市（泰和澄江大道店）-29km
共橙一站式超市（永新湘赣大道店）-89km
共橙一站式超市（井冈山步云山路店）-45km
共橙一站式超市（遂川川江南路店）-97km</t>
  </si>
  <si>
    <t>共橙一站式超市 (南昌招贤大道店)-16km
共橙一站式超市（南城登高路店）-197km
共橙一站式超市（资溪滨江路店）-71km
共橙一站式超市（黎川杏林路店）-74km
共橙一站式超市（南丰南广路店）-59km
共橙一站式超市（广昌站前路店）-50km</t>
  </si>
  <si>
    <t>共橙一站式超市（丰城府佑东路店）-61km
共橙一站式超市（樟树药都路店）-29km
共橙一站式超市（樟树金都路店）-1.3km
共橙一站式超市（新余中山路店）-74km
共橙一站式超市（新余抱石大道店）-4.6km
共橙一站式超市（新余市青年路店）-5.4km
共橙一站式超市（分宜县天工南大道店）-29km
共橙一站式超市（宜春文体路店）-35km</t>
  </si>
  <si>
    <t>共橙一站式超市（共青城南湖大道店）-89km
厉臣 - 九江市都昌东风大道店-75km
共橙一站式超市（庐山玉帘路店）-75km
共橙一站式超市（庐山星光大道店）-1.5km
惠宜选 - 九江市柴桑店-44km
共橙一站式超市 (瑞昌赤乌大道店)-40km
共橙一站式超市（瑞昌人民北路店）-2.1km</t>
  </si>
  <si>
    <t>共橙一站式超市（永丰欧阳修大道店）-191km
共橙一站式超市（吉安县赣江大道店）-68km
共橙一站式超市（泰和澄江大道店）-29km
共橙一站式超市（永新湘赣大道店）-89km
共橙一站式超市（井冈山步云山路店）-45km
共橙一站式超市（遂川川江南路店）-97km
共橙一站式超市（赣江东源大道店）-79km
共橙一站式超市（赣县梅林大街店）-14km</t>
  </si>
  <si>
    <t>共橙一站式超市 (南昌招贤大道店)-16km
共橙一站式超市（南昌小洲路店）-44km
共橙一站式超市（进贤昌盛路店）-56km
惠宜选超市（弋阳县梅山路店）-142km
共橙一站式超市（横峰兴安大道店）-19km
惠宜选 - 上饶广丰店-68km
共橙一站式超市（玉山三清大道店）-34km</t>
  </si>
  <si>
    <t>共橙一站式超市（南昌京东大道店）-56km
共橙一站式超市（万年建德大街店）-126km
共橙一站式超市（德兴滨河大道店）-86km
惠宜选 - 江西上饶市婺源店-61km</t>
  </si>
  <si>
    <t>惠宜选超市（高安沿江中路店）-44km
共橙一站式超市（宜丰县永康路店）-71km
厉臣-宜春市上高店-27km
共橙一站式超市（新余中山路店）-68km
共橙一站式超市（新余抱石大道店）-4.6km
共橙一站式超市（新余市青年路店）-5.4km
共橙一站式超市（分宜县天工南大道店）-29km</t>
  </si>
  <si>
    <t>共橙一站式超市（南昌京东大道店）-56km
共橙一站式超市（南昌经开区庐山南大道店）-47km
共橙一站式超市（庐山玉帘路店）-114km
共橙一站式超市（庐山星光大道店）-1.5km
厉臣 - 九江市都昌东风大道店-48km</t>
  </si>
  <si>
    <t>共橙一站式超市 (安义学府大道店)-42km
共橙一站式超市（靖安清华大道店）-25km
共橙一站式超市（武宁月山路店）-97km
惠宜选 - 九江市修水店-81km
共橙一站式超市（修水县龙井路店）-6.3km</t>
  </si>
  <si>
    <t>共橙一站式超市（南昌长富大道店）-19km
共橙一站式超市（九江庐山西路店）-118km
惠宜选 - 九江市柴桑店-1.7km
共橙一站式超市（九江八里湖大道店）-15km</t>
  </si>
  <si>
    <t>共橙一站式超市（金溪县秀谷西大道店）-158km
共橙一站式超市（资溪滨江路店）-52km
共橙一站式超市（南城登高路店）-71km
共橙一站式超市（黎川杏林路店）-60km
共橙一站式超市（南丰南广路店）-59km
共橙一站式超市（广昌站前路店）-50km</t>
  </si>
  <si>
    <t>共橙一站式超市 (南昌招贤大道店)-16km
共橙一站式超市（会昌兴会路店）-424km
共橙一站式超市（安远腾飞路店）-103km
共橙一站式超市（定南龙亭路店）-67km
共橙一站式超市（龙南嘉吉路店）-34km
共橙一站式超市（全南滨江路店）-39km</t>
  </si>
  <si>
    <t>惠宜选超市（赣州章江北大道店）-380km
共橙一站式超市（赣州迎宾大道店）-7.4km</t>
  </si>
  <si>
    <t>共橙一站式超市（余干县世纪大道店）-137km
共橙一站式超市（鄱阳县五一北路店）-45km
共橙一站式超市（鄱阳锦宇大道店)-3.8km
共橙一站式超市（万年建德大街店）-67km</t>
  </si>
  <si>
    <t>共橙一站式超市（南昌明月山大道店）-7.4km
共橙一站式超市 (安义学府大道店)-42km
共橙一站式超市（靖安清华大道店）-25km
惠宜选 - 九江市修水店-123km
共橙一站式超市（修水县龙井路店）-6.3km</t>
  </si>
  <si>
    <t>共橙一站式超市（进贤吴万街店）-75km
厉臣便利-（东乡状元路店）-44km
共橙一站式超市（东乡求学路店）-2.1km
共橙一站式超市（鹰潭余江区白塔东路店）-25km
共橙一站式超市（鹰潭五洲路店）-24km
共橙一站式超市（鹰潭市林荫东路店）-3.4km
共橙一站式超市（贵溪雄石东路店）-20km</t>
  </si>
  <si>
    <t>共橙一站式超市（南昌云飞路店）-36km
共橙一站式超市（南昌小洲路店）-6.4km
共橙一站式超市（抚州金巢大道店）-97km
共橙一站式超市（抚州迎宾大道店）-3.3km
共橙一站式超市（抚州玉茗路店）-7km
共橙一站式超市（崇仁站前路店）-34km</t>
  </si>
  <si>
    <t>共橙超市 - 南昌东湖店-46km
共橙一站式超市（九江八里湖大道店）-151km
共橙一站式超市（九江花溪路店）-6.5km
共橙一站式超市（九江浔阳东路店）-10km
共橙一站式超市（湖口渊明路店）-28km
厉臣便利（彭泽县龙兴路店）-35km</t>
  </si>
  <si>
    <t>共橙一站式超市（南昌锦江路店）-28km
共橙一站式超市（南昌经开区庐山南大道店）-5.9km
共橙一站式超市 (永修建昌大道店)-39km
共橙一站式超市（庐山玉帘路店）-84km
共橙一站式超市（庐山星光大道店）-1.5km
厉臣 - 九江市都昌东风大道店-48km</t>
  </si>
  <si>
    <t>共橙一站式超市（新干县金川大道店）-123km
共橙一站式超市（吉安县赣江大道店）-103km
共橙一站式超市（兴国县将军大道店）-102km
共橙一站式超市（于都杨公路店）-86km
共橙一站式超市（赣县梅林大街店）-51km
共橙一站式超市（赣州五洲大道店）-10km
共橙一站式超市（赣江东江源大道店）-8.8km</t>
  </si>
  <si>
    <t>共橙一站式超市（南昌长富大道店）-19km
共橙一站式超市（南昌东祥路店）-42km
共橙一站式超市（宜黄县凤凰路店）-164km
共橙一站式超市（抚州乐安大道店）-58km
共橙一站式超市（永丰欧阳修大道店）-52km
共橙一站式超市（吉安青原大道店）-54km</t>
  </si>
  <si>
    <t>共橙一站式超市（南昌安宝大道店）-37km
共橙一站式超市（金溪县秀谷西大道店）-124km
共橙一站式超市（资溪县滨江路店）-52km
共橙一站式超市（南城登高路店）-71km
共橙一站式超市（黎川杏林路店）-60km
共橙一站式超市（南丰南广路店）-59km
共橙一站式超市（广昌站前路店）-50km</t>
  </si>
  <si>
    <t>惠宜选超市（高安沿江中路店）-44km
厉臣 - 宜春市上高店-55km
共橙一站式超市（宜丰县永康路店）-23km
共橙一站式超市（宜丰县新昌中路店）-1.9km
共橙一站式超市（铜鼓定江西路店）-66km
共橙一站式超市（万载县康乐大道店）-78km
共橙一站式超市（上栗李畋北大道店）-85km</t>
  </si>
  <si>
    <t>共橙一站式超市 (南昌招贤大道店)-16km
共橙一站式超市 (永修建昌大道店)-160km
厉臣 - 九江市都昌东风大道店-65km
共橙一站式超市（庐山玉帝路店）-75km
共橙一站式超市（庐山星光大道店）-1.5km
惠宜选 - 九江市柴桑店-44km
共橙一站式超市 (瑞昌赤乌大道店)-35km
共橙一站式超市（瑞昌人民北路店）-2.1km</t>
  </si>
  <si>
    <t>共橙超市-南昌东湖店-46km
共橙一站式超市（南昌国威路店）-6.6km
共橙一站式超市（进贤吴万街店）-63km
共橙一站式超市（东乡求学路店）-43km
共橙一站式超市（鹰潭余江区白塔东路店）-25km
共橙一站式超市（鹰潭五洲路店）-24km
共橙一站式超市（鹰潭市林荫东路店）-3.4km</t>
  </si>
  <si>
    <t>共橙一站式超市（南昌小洲路店）-35km
共橙一站式超市（进贤昌盛路店）-56km
共橙一站式超市（金溪县秀谷西大道店）-87km
共橙一站式超市（宜黄县凤凰路店）-92km
共橙一站式超市（南城登高路店）-75km
共橙一站式超市（黎川杏林路店）-60km
共橙一站式超市（南丰南广路店）-59km
共橙一站式超市（广昌站前路店）-50km</t>
  </si>
  <si>
    <t>共橙一站式超市（宁都县登峰大道店）-294km
共橙一站式超市（瑞金龙珠路店）-75km
共橙一站式超市（会昌兴会路店）-43km
共橙一站式超市（安远腾飞路店）-103km
共橙一站式超市（定南龙亭路店）-67km
共橙一站式超市（龙南嘉吉路店）-34km
共橙一站式超市（全南滨江路店）-39km</t>
  </si>
  <si>
    <t>共橙一站式超市（南昌云飞路店）-36km
共橙一站式超市（樟树金都路店）-89km
共橙一站式超市（新余中山路店）-74km
共橙一站式超市（新余抱石大道店）-4.6km
共橙一站式超市（新余市青年路店）-5.4km
共橙一站式超市（分宜县天工南大道店）-29km</t>
  </si>
  <si>
    <t>共橙一站式超市（南昌京东大道店）-56km
共橙一站式超市（九江花溪路店）-145km
共橙一站式超市（九江浔阳东路店）-10km
共橙一站式超市（湖口渊明路店）-28km
厉臣便利（彭泽县龙兴路店）-34km</t>
  </si>
  <si>
    <t>共橙一站式超市（南昌经开区庐山南大道店）-26km
共橙一站式超市（九江泰山路店）-125km</t>
  </si>
  <si>
    <t>共橙一站式超市（南昌云飞路店）-36km
共橙一站式超市（新干县金川大道店）-139km
共橙一站式超市（吉安青原大道店）-85km
共橙一站式超市（于都杨公路店）-210km
厉臣省钱超市（于都金山大道店）-10km</t>
  </si>
  <si>
    <t>惠宜选超市（石城迎宾大道店）-324km
共橙一站式超市（瑞金龙珠路店）-70km</t>
  </si>
  <si>
    <t>共橙一站式超市（抚州乐安大道店）-148km
共橙一站式超市（宁都博生西路店）-148km
共橙一站式超市（宁都县登峰大道店）-2km</t>
  </si>
  <si>
    <t>共橙一站式超市（南城登高路店）-194km
共橙一站式超市（资溪县滨江路店）-71km
共橙一站式超市（黎川杏林路店）-74km
共橙一站式超市（南丰南广路店）-59km
共橙一站式超市（广昌站前路店）-50km</t>
  </si>
  <si>
    <t>共橙一站式超市 (南昌招贤大道店)-16km
共橙一站式超市（南昌安宝大道店）-45km
共橙一站式超市（进贤昌盛路店）-47km
惠宜选超市（弋阳县梅山路店）-134km
共橙一站式超市（横峰兴安大道店）-19km
惠宜选 - 上饶吾悦广场店-36km</t>
  </si>
  <si>
    <t>共橙一站式超市（南昌经开区庐山南大道店）-26km
共橙一站式超市 (安义学府大道店)-45km
共橙一站式超市（奉新县迎宾大道店）-31km
共橙一站式超市（靖安清华大道店）-21km
共橙一站式超市（武宁月山路店）-94km
惠宜选 - 九江市修水店-81km
共橙一站式超市（修水县龙井路店）-6.3km</t>
  </si>
  <si>
    <t>共橙一站式超市（南昌明月山大道店）-7.4km
惠宜选超市（高安沿江中路店）-49km
厉臣 - 宜春市上高店 -55km
共橙一站式超市（宜丰县永康路店）-23km
共橙一站式超市（宜丰县新昌中路店）-1.9km
共橙一站式超市（铜鼓定江西路店）-66km</t>
  </si>
  <si>
    <t>共橙一站式超市（高安瑞阳大道店）-41km
共橙一站式超市（万载县康乐大道店）-108km
共橙一站式超市（万载县将军西大道店）-2.3km
共橙一站式超市（上栗李耿北大店）-83km</t>
  </si>
  <si>
    <t>共橙一站式超市（南昌东祥路店）-32km
共橙一站式超市（永丰欧阳修大道店）-181km
共橙一站式超市（抚州乐安大道店）-50km
共橙一站式超市（宜黄县凤凰路店）-58km
共橙一站式超市（南城登高路店）-75km
共橙一站式超市（南丰南广路店）-44km
共橙一站式超市（黎川杏林路店）-56km</t>
  </si>
  <si>
    <t>共橙一站式超市（南昌安宝大道店）-37km
共橙一站式超市（进贤昌盛路店）-47km
共橙一站式超市（金溪县秀谷西大道店）-87km
惠宜选超市（弋阳县梅山路店）-98km
共橙一站式超市（横峰兴安大道店）-20km
惠宜选 - 上饶广丰店-65km
共橙一站式超市（玉山三清大道店）-34km</t>
  </si>
  <si>
    <t>共橙一站式超市（新干县金川大道店）-123km
共橙一站式超市（吉水万里大道店）-65km
共橙一站式超市（兴国县兴国大道店）-143km
共橙一站式超市（兴国县将军大道店）-2.1km
共橙一站式超市（于都杨公路店）-86km
共橙一站式超市（赣县梅林大街店）-50km
惠宜选超市（赣州章江北大道店）-13km</t>
  </si>
  <si>
    <t>共橙一站式超市（南昌明月山大道店）-7.4km
共橙一站式超市（南昌招贤大道店）-11km
共橙一站式超市（安义学府大道店）-39km
共橙一站式超市（奉新县迎宾大道店）-31km
共橙一站式超市（靖安清华大道店）-21km
共橙一站式超市（武宁月山路店）-97km
惠宜选 - 九江市修水店-81km
共橙一站式超市（修水县龙井路店）-6.3km</t>
  </si>
  <si>
    <t>共橙一站式超市（进贤吴万街店）-75km
厉臣便利（东乡状元路店）-44km
共橙一站式超市（东乡求学路店）-2.1km
共橙一站式超市（鹰潭余江区白塔东路店）-25km
共橙一站式超市（鹰潭五洲路店）-24km
共橙一站式超市（鹰潭市林荫东路店）-3.4km
共橙一站式超市（贵溪凝石东路店）-20km</t>
  </si>
  <si>
    <t>共橙一站式超市（九江庐山西路店）-131km
共橙一站式超市（九江八里湖大道店）-15km
共橙一站式超市（九江花溪路店）-6km
共橙一站式超市（九江泰山路店）-11km
共橙一站式超市（九江浔阳东路店）-12km
共橙一站式超市（湖口渊明路店）-28km
厉臣便利（彭泽县龙兴路店）-34km</t>
  </si>
  <si>
    <t>共橙一站式超市（丰城府佑东路店）-61km
共橙一站式超市（樟树药都路店）-29km
共橙一站式超市（樟树金都路店）-1.3km
共橙一站式超市（崇仁站前路店）-91km
共橙一站式超市（抚州玉茗大路店）-35km
共橙一站式超市（抚州迎宾大道店）-23km
共橙一站式超市（抚州金巢大道店）-3.3km</t>
  </si>
  <si>
    <t>惠宜选超市（石城迎宾大道店）-324km
共橙一站式超市（瑞金龙珠路店）-70km
共橙一站式超市（会昌兴会路店）-43km
共橙一站式超市（安远腾飞路店）-103km
共橙一站式超市（定南龙亭路店）-67km
共橙一站式超市（龙南嘉吉路店）-34km
共橙一站式超市（全南滨江路店）-38km</t>
  </si>
  <si>
    <t>共橙一站式超市（南昌迎宾中大道店）-41km
共橙一站式超市（新干县金川大道店）-124km
共橙一站式超市（吉水万里大道店）-65km
共橙一站式超市（吉安县赣江大道店）-33km
共橙一站式超市（泰和澄江大道店）-29km
共橙一站式超市（永新湘赣大道店）-86km
共橙一站式超市（井冈山步云山路店）-45km
共橙一站式超市（万安建设路店）-110km
共橙一站式超市（遂川川江南路店）-40km</t>
  </si>
  <si>
    <t>共橙一站式超市（南昌招贤大道店）-16km
共橙一站式超市（鄱阳县五一北路店）-148km
共橙一站式超市（鄱阳锦宇大道店）-3.8km
共橙一站式超市（景德镇紫晶路店）-82km
共橙一站式超市（景德镇翠云路店）-10km
共橙一站式超市（浮梁县新昌北路店）-13km</t>
  </si>
  <si>
    <t>共橙一站式超市（丰城府佑东路店）-61km
共橙一站式超市（樟树药都路店）-29km
共橙一站式超市（樟树金都路店）-1.3km
共橙一站式超市（新余中山路店）-74km
共橙一站式超市（新余抱石大道店）-4.6km
共橙一站式超市（新余市青年路店）-5.4km
共橙一站式超市（分宜县天工南大道店）-29km</t>
  </si>
  <si>
    <t>共橙一站式超市(南昌东祥路店)-32km
惠宜选超市（弋阳县梅山路店）-192km
共橙一站式超市（横峰兴安大道店）-19km
惠宜选-上饶吾悦广场店-35km
惠宜选-上饶广丰店-31km
共橙一站式超市（玉山三清大道店）-?km</t>
  </si>
  <si>
    <t>共橙一站式超市（鄱阳县五一北路店）-160km
共橙一站式超市（鄱阳锦宇大道店）-3.8km
共橙一站式超市（万年建德大街店）-67km
共橙一站式超市（德兴滨河大道店）-86km
惠宜选-江西上饶市婺源店-62km</t>
  </si>
  <si>
    <t>共橙一站式超市(宁都县登峰大道店)-291km
共橙一站式超市（于都杨公路店）-93km
共橙一站式超市(瑞金龙珠路店）-78km
共橙一站式超市（会昌兴会路店）-43km
共橙一站式超市(安远腾飞路店）-103km
共橙一站式超市（定南龙亭路店）-67km</t>
  </si>
  <si>
    <t>共橙一站式超市（南昌明月山大道店）-7.4km
共橙一站式超市（高安瑞阳大道店）-45km
厉臣-宜春市上高店-54km
共橙一站式超市（万载县康乐大道店）-56km</t>
  </si>
  <si>
    <t>共橙一站式超市（抚州金巢大道店）-117km
共橙一站式超市（抚州迎宾大道店）-3.3km
共橙一站式超市(抚州玉茗路店)-6.4km
共橙一站式超市（崇仁站前路店）-34km</t>
  </si>
  <si>
    <t>共橙一站式超市（九江庐山西路店）-132km
共橙一站式超市(九江花溪路店）-18km
共橙一站式超市（九江浔阳东路店）-10km
共橙一站式超市（湖口渊明路店）-28km
厉臣便利（彭泽县龙兴路店）-34km</t>
  </si>
  <si>
    <t>共橙一站式超市（德安宝塔大道店）-93km
惠宜选-九江市柴桑店-45km
共橙一站式超市(瑞昌赤乌大道店)-40km
共橙一站式超市（瑞昌人民北路店）-2.6km</t>
  </si>
  <si>
    <t>共橙一站式超市(南昌长富大道店)-19km
共橙一站式超市（南昌经开区庐山南大道店）-8.2km
共橙一站式超市（庐山玉帘路店）-116km
共橙一站式超市（庐山星光大道店）-1.5km
厉臣-九江市都昌东风大道店-49km</t>
  </si>
  <si>
    <t>共橙一站式超市(于都杨公路店)-357km
共橙一站式超市(赣州五洲大道店)-61km</t>
  </si>
  <si>
    <t>共橙一站式超市 (南昌招贤大道店)-16km
惠宜选超市（弋阳县梅山路店）-222km
共橙一站式超市 (横峰兴安大道店)-19km
惠宜选-上饶广丰店-65km
共橙一站式超市 (玉山三清大道店)-33km</t>
  </si>
  <si>
    <t>共橙一站式超市(进贤昌盛路店)-79km
共橙一站式超市(宁都县登峰大道店）-251km
共橙一站式超市(瑞金龙珠路店)-75km
共橙一站式超市（会昌兴会路店）-43km
共橙一站式超市 (安远腾飞路店)-103km</t>
  </si>
  <si>
    <t>共橙一站式超市 (金溪县秀谷西大道店)-155km
共橙一站式超市 (宜黄县凤凰路店)-92km
共橙一站式超市 (南城登高路店)-74km
共橙一站式超市(黎川杏林路店)-57km
共橙一站式超市 (南丰南广路店)-56km
共橙一站式超市（广昌站前路店）-50km</t>
  </si>
  <si>
    <t>共橙一站式超市(南昌解放西路店)-56km
共橙一站式超市 (抚州乐安大道店)-157km
共橙一站式超市 (永丰欧阳修大道店)-50km
共橙一站式超市(吉安田侯路店)-60km</t>
  </si>
  <si>
    <t>共橙一站式超市 (兴国县将军大道店)-319km</t>
  </si>
  <si>
    <t>共橙一站式超市 (鄱阳县五一北路店)-160km
共橙一站式超市(景德镇紫晶路店)-83km
共橙一站式超市 (景德镇翠云路店)-10km
共橙一站式超市(浮梁县新昌北路店）-13km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</si>
</sst>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58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5"/>
  <sheetViews>
    <sheetView tabSelected="1" zoomScale="110" zoomScaleNormal="110" workbookViewId="0">
      <pane ySplit="1" topLeftCell="A92" activePane="bottomLeft" state="frozen"/>
      <selection/>
      <selection pane="bottomLeft" activeCell="A92" sqref="A92"/>
    </sheetView>
  </sheetViews>
  <sheetFormatPr defaultColWidth="15.625" defaultRowHeight="14.25"/>
  <cols>
    <col min="1" max="1" width="11.375" style="6" customWidth="1"/>
    <col min="2" max="2" width="11.125" style="6" customWidth="1"/>
    <col min="3" max="3" width="42.375" style="21" customWidth="1"/>
    <col min="4" max="4" width="15.875" style="6" customWidth="1"/>
    <col min="5" max="6" width="15.625" style="5" customWidth="1"/>
    <col min="7" max="7" width="14.25" style="5" customWidth="1"/>
    <col min="8" max="8" width="12.25" style="5" customWidth="1"/>
    <col min="9" max="9" width="11.5083333333333" style="5" customWidth="1"/>
    <col min="10" max="10" width="15.625" style="5" customWidth="1"/>
    <col min="11" max="16383" width="15.625" style="6" customWidth="1"/>
    <col min="16384" max="16384" width="15.625" style="6"/>
  </cols>
  <sheetData>
    <row r="1" ht="30" customHeight="1" spans="1:16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8</v>
      </c>
      <c r="K1" s="7" t="s">
        <v>9</v>
      </c>
      <c r="L1" s="7" t="s">
        <v>10</v>
      </c>
      <c r="M1" s="7" t="s">
        <v>11</v>
      </c>
    </row>
    <row r="2" s="6" customFormat="1" ht="71.25" spans="1:16">
      <c r="A2" s="7">
        <v>1</v>
      </c>
      <c r="B2" s="22">
        <v>45962</v>
      </c>
      <c r="C2" s="8" t="s">
        <v>12</v>
      </c>
      <c r="D2" s="7" cm="1">
        <f t="array" ref="D2">SUM(VALUE(SUBSTITUTE(_xlfn.TEXTAFTER(_xlfn.TEXTSPLIT(C2,CHAR(10)),"-",-1),"km","")))</f>
        <v>526</v>
      </c>
      <c r="E2" s="9">
        <f t="shared" ref="E2:E65" si="0">F2/1.09</f>
        <v>3.76146788990826</v>
      </c>
      <c r="F2" s="9">
        <f>IF(D2&gt;=301,4.1,IF(D2&gt;=201,4.3,IF(D2&gt;=101,4.5,"")))</f>
        <v>4.1</v>
      </c>
      <c r="G2" s="9">
        <f t="shared" ref="G2:G65" si="1">D2*E2</f>
        <v>1978.53211009174</v>
      </c>
      <c r="H2" s="9">
        <f t="shared" ref="H2:H65" si="2">D2*F2</f>
        <v>2156.6</v>
      </c>
      <c r="I2" s="9">
        <f>IF(D2&gt;=301,3.2,IF(D2&gt;=201,3.5,IF(D2&gt;=101,3.5,"")))</f>
        <v>3.2</v>
      </c>
      <c r="J2" s="9">
        <f t="shared" ref="J2:J65" si="3">D2*I2</f>
        <v>1683.2</v>
      </c>
      <c r="K2" s="7" t="s">
        <v>13</v>
      </c>
      <c r="L2" s="7"/>
      <c r="M2" s="7"/>
    </row>
    <row r="3" s="6" customFormat="1" ht="85.5" spans="1:16">
      <c r="A3" s="7">
        <v>2</v>
      </c>
      <c r="B3" s="22">
        <v>45962</v>
      </c>
      <c r="C3" s="8" t="s">
        <v>14</v>
      </c>
      <c r="D3" s="7" cm="1">
        <f t="array" ref="D3">SUM(VALUE(SUBSTITUTE(_xlfn.TEXTAFTER(_xlfn.TEXTSPLIT(C3,CHAR(10)),"-",-1),"km","")))</f>
        <v>494</v>
      </c>
      <c r="E3" s="9">
        <f t="shared" si="0"/>
        <v>3.76146788990826</v>
      </c>
      <c r="F3" s="9">
        <f t="shared" ref="F3:F46" si="4">IF(D3&gt;=301,4.1,IF(D3&gt;=201,4.3,IF(D3&gt;=101,4.5,"")))</f>
        <v>4.1</v>
      </c>
      <c r="G3" s="9">
        <f t="shared" si="1"/>
        <v>1858.16513761468</v>
      </c>
      <c r="H3" s="9">
        <f t="shared" si="2"/>
        <v>2025.4</v>
      </c>
      <c r="I3" s="9">
        <f t="shared" ref="I3:I46" si="5">IF(D3&gt;=301,3.2,IF(D3&gt;=201,3.5,IF(D3&gt;=101,3.5,"")))</f>
        <v>3.2</v>
      </c>
      <c r="J3" s="9">
        <f t="shared" si="3"/>
        <v>1580.8</v>
      </c>
      <c r="K3" s="7" t="s">
        <v>15</v>
      </c>
      <c r="L3" s="7"/>
      <c r="M3" s="7"/>
      <c r="N3" s="6"/>
      <c r="O3" s="6"/>
      <c r="P3" s="18"/>
    </row>
    <row r="4" s="18" customFormat="1" ht="85.5" spans="1:16">
      <c r="A4" s="7">
        <v>3</v>
      </c>
      <c r="B4" s="22">
        <v>45962</v>
      </c>
      <c r="C4" s="8" t="s">
        <v>16</v>
      </c>
      <c r="D4" s="7" cm="1">
        <f t="array" ref="D4">SUM(VALUE(SUBSTITUTE(_xlfn.TEXTAFTER(_xlfn.TEXTSPLIT(C4,CHAR(10)),"-",-1),"km","")))</f>
        <v>331</v>
      </c>
      <c r="E4" s="9">
        <f t="shared" si="0"/>
        <v>3.76146788990826</v>
      </c>
      <c r="F4" s="9">
        <f t="shared" si="4"/>
        <v>4.1</v>
      </c>
      <c r="G4" s="9">
        <f t="shared" si="1"/>
        <v>1245.04587155963</v>
      </c>
      <c r="H4" s="9">
        <f t="shared" si="2"/>
        <v>1357.1</v>
      </c>
      <c r="I4" s="9">
        <f t="shared" si="5"/>
        <v>3.2</v>
      </c>
      <c r="J4" s="9">
        <f t="shared" si="3"/>
        <v>1059.2</v>
      </c>
      <c r="K4" s="7" t="s">
        <v>17</v>
      </c>
      <c r="L4" s="7"/>
      <c r="M4" s="7"/>
      <c r="N4" s="18"/>
      <c r="O4" s="6"/>
    </row>
    <row r="5" s="18" customFormat="1" ht="57" spans="1:16">
      <c r="A5" s="7">
        <v>4</v>
      </c>
      <c r="B5" s="22">
        <v>45962</v>
      </c>
      <c r="C5" s="23" t="s">
        <v>18</v>
      </c>
      <c r="D5" s="7" cm="1">
        <f t="array" ref="D5">SUM(VALUE(SUBSTITUTE(_xlfn.TEXTAFTER(_xlfn.TEXTSPLIT(C5,CHAR(10)),"-",-1),"km","")))</f>
        <v>426.8</v>
      </c>
      <c r="E5" s="9">
        <f t="shared" si="0"/>
        <v>3.76146788990826</v>
      </c>
      <c r="F5" s="9">
        <f t="shared" si="4"/>
        <v>4.1</v>
      </c>
      <c r="G5" s="9">
        <f t="shared" si="1"/>
        <v>1605.39449541285</v>
      </c>
      <c r="H5" s="9">
        <f t="shared" si="2"/>
        <v>1749.88</v>
      </c>
      <c r="I5" s="9">
        <f t="shared" si="5"/>
        <v>3.2</v>
      </c>
      <c r="J5" s="9">
        <f t="shared" si="3"/>
        <v>1365.76</v>
      </c>
      <c r="K5" s="24" t="s">
        <v>19</v>
      </c>
      <c r="L5" s="24"/>
      <c r="M5" s="24"/>
      <c r="N5" s="18"/>
      <c r="O5" s="6"/>
    </row>
    <row r="6" s="18" customFormat="1" ht="57" spans="1:16">
      <c r="A6" s="7">
        <v>5</v>
      </c>
      <c r="B6" s="22">
        <v>45962</v>
      </c>
      <c r="C6" s="23" t="s">
        <v>20</v>
      </c>
      <c r="D6" s="24" cm="1">
        <f t="array" ref="D6">SUM(VALUE(SUBSTITUTE(_xlfn.TEXTAFTER(_xlfn.TEXTSPLIT(C6,CHAR(10)),"-",-1),"km","")))</f>
        <v>266</v>
      </c>
      <c r="E6" s="25">
        <f t="shared" si="0"/>
        <v>3.94495412844037</v>
      </c>
      <c r="F6" s="9">
        <f t="shared" si="4"/>
        <v>4.3</v>
      </c>
      <c r="G6" s="25">
        <f t="shared" si="1"/>
        <v>1049.35779816514</v>
      </c>
      <c r="H6" s="25">
        <f t="shared" si="2"/>
        <v>1143.8</v>
      </c>
      <c r="I6" s="9">
        <f t="shared" si="5"/>
        <v>3.5</v>
      </c>
      <c r="J6" s="25">
        <f t="shared" si="3"/>
        <v>931</v>
      </c>
      <c r="K6" s="24" t="s">
        <v>21</v>
      </c>
      <c r="L6" s="24"/>
      <c r="M6" s="24"/>
      <c r="N6" s="18"/>
      <c r="O6" s="6"/>
    </row>
    <row r="7" s="18" customFormat="1" ht="27" customHeight="1" spans="1:16">
      <c r="A7" s="7">
        <v>6</v>
      </c>
      <c r="B7" s="26">
        <v>45963</v>
      </c>
      <c r="C7" s="8" t="s">
        <v>22</v>
      </c>
      <c r="D7" s="7" cm="1">
        <f t="array" ref="D7">SUM(VALUE(SUBSTITUTE(_xlfn.TEXTAFTER(_xlfn.TEXTSPLIT(C7,CHAR(10)),"-",-1),"km","")))</f>
        <v>153</v>
      </c>
      <c r="E7" s="9">
        <f t="shared" si="0"/>
        <v>4.12844036697248</v>
      </c>
      <c r="F7" s="9">
        <f t="shared" si="4"/>
        <v>4.5</v>
      </c>
      <c r="G7" s="9">
        <f t="shared" si="1"/>
        <v>631.65137614679</v>
      </c>
      <c r="H7" s="9">
        <f t="shared" si="2"/>
        <v>688.5</v>
      </c>
      <c r="I7" s="9">
        <f t="shared" si="5"/>
        <v>3.5</v>
      </c>
      <c r="J7" s="9">
        <f t="shared" si="3"/>
        <v>535.5</v>
      </c>
      <c r="K7" s="7" t="s">
        <v>23</v>
      </c>
      <c r="L7" s="7"/>
      <c r="M7" s="7"/>
      <c r="N7" s="18"/>
      <c r="O7" s="6"/>
    </row>
    <row r="8" s="18" customFormat="1" ht="57" spans="1:16">
      <c r="A8" s="7">
        <v>7</v>
      </c>
      <c r="B8" s="26">
        <v>45963</v>
      </c>
      <c r="C8" s="8" t="s">
        <v>24</v>
      </c>
      <c r="D8" s="7" cm="1">
        <f t="array" ref="D8">SUM(VALUE(SUBSTITUTE(_xlfn.TEXTAFTER(_xlfn.TEXTSPLIT(C8,CHAR(10)),"-",-1),"km","")))</f>
        <v>245</v>
      </c>
      <c r="E8" s="9">
        <f t="shared" si="0"/>
        <v>3.94495412844037</v>
      </c>
      <c r="F8" s="9">
        <f t="shared" si="4"/>
        <v>4.3</v>
      </c>
      <c r="G8" s="9">
        <f t="shared" si="1"/>
        <v>966.513761467891</v>
      </c>
      <c r="H8" s="9">
        <f t="shared" si="2"/>
        <v>1053.5</v>
      </c>
      <c r="I8" s="9">
        <f t="shared" si="5"/>
        <v>3.5</v>
      </c>
      <c r="J8" s="9">
        <f t="shared" si="3"/>
        <v>857.5</v>
      </c>
      <c r="K8" s="7" t="s">
        <v>25</v>
      </c>
      <c r="L8" s="7"/>
      <c r="M8" s="7"/>
      <c r="N8" s="18"/>
      <c r="O8" s="6"/>
    </row>
    <row r="9" s="18" customFormat="1" ht="71.25" spans="1:16">
      <c r="A9" s="7">
        <v>8</v>
      </c>
      <c r="B9" s="26">
        <v>45964</v>
      </c>
      <c r="C9" s="8" t="s">
        <v>26</v>
      </c>
      <c r="D9" s="7" cm="1">
        <f t="array" ref="D9">SUM(VALUE(SUBSTITUTE(_xlfn.TEXTAFTER(_xlfn.TEXTSPLIT(C9,CHAR(10)),"-",-1),"km","")))</f>
        <v>221</v>
      </c>
      <c r="E9" s="9">
        <f t="shared" si="0"/>
        <v>3.94495412844037</v>
      </c>
      <c r="F9" s="9">
        <f t="shared" si="4"/>
        <v>4.3</v>
      </c>
      <c r="G9" s="9">
        <f t="shared" si="1"/>
        <v>871.834862385322</v>
      </c>
      <c r="H9" s="9">
        <f t="shared" si="2"/>
        <v>950.3</v>
      </c>
      <c r="I9" s="9">
        <f t="shared" si="5"/>
        <v>3.5</v>
      </c>
      <c r="J9" s="9">
        <f t="shared" si="3"/>
        <v>773.5</v>
      </c>
      <c r="K9" s="7" t="s">
        <v>25</v>
      </c>
      <c r="L9" s="7"/>
      <c r="M9" s="7"/>
      <c r="N9" s="18"/>
      <c r="O9" s="6"/>
    </row>
    <row r="10" s="18" customFormat="1" ht="85.5" spans="1:16">
      <c r="A10" s="7">
        <v>9</v>
      </c>
      <c r="B10" s="26">
        <v>45964</v>
      </c>
      <c r="C10" s="8" t="s">
        <v>27</v>
      </c>
      <c r="D10" s="7" cm="1">
        <f t="array" ref="D10">SUM(VALUE(SUBSTITUTE(_xlfn.TEXTAFTER(_xlfn.TEXTSPLIT(C10,CHAR(10)),"-",-1),"km","")))</f>
        <v>255.2</v>
      </c>
      <c r="E10" s="9">
        <f t="shared" si="0"/>
        <v>3.94495412844037</v>
      </c>
      <c r="F10" s="9">
        <f t="shared" si="4"/>
        <v>4.3</v>
      </c>
      <c r="G10" s="9">
        <f t="shared" si="1"/>
        <v>1006.75229357798</v>
      </c>
      <c r="H10" s="9">
        <f t="shared" si="2"/>
        <v>1097.36</v>
      </c>
      <c r="I10" s="9">
        <f t="shared" si="5"/>
        <v>3.5</v>
      </c>
      <c r="J10" s="9">
        <f t="shared" si="3"/>
        <v>893.2</v>
      </c>
      <c r="K10" s="7" t="s">
        <v>28</v>
      </c>
      <c r="L10" s="7"/>
      <c r="M10" s="7"/>
      <c r="N10" s="18"/>
      <c r="O10" s="6"/>
    </row>
    <row r="11" s="18" customFormat="1" ht="57" spans="1:16">
      <c r="A11" s="7">
        <v>10</v>
      </c>
      <c r="B11" s="26">
        <v>45964</v>
      </c>
      <c r="C11" s="8" t="s">
        <v>29</v>
      </c>
      <c r="D11" s="7" cm="1">
        <f t="array" ref="D11">SUM(VALUE(SUBSTITUTE(_xlfn.TEXTAFTER(_xlfn.TEXTSPLIT(C11,CHAR(10)),"-",-1),"km","")))</f>
        <v>182.1</v>
      </c>
      <c r="E11" s="9">
        <f t="shared" si="0"/>
        <v>4.12844036697248</v>
      </c>
      <c r="F11" s="9">
        <f t="shared" si="4"/>
        <v>4.5</v>
      </c>
      <c r="G11" s="9">
        <f t="shared" si="1"/>
        <v>751.788990825689</v>
      </c>
      <c r="H11" s="9">
        <f t="shared" si="2"/>
        <v>819.45</v>
      </c>
      <c r="I11" s="9">
        <f t="shared" si="5"/>
        <v>3.5</v>
      </c>
      <c r="J11" s="9">
        <f t="shared" si="3"/>
        <v>637.35</v>
      </c>
      <c r="K11" s="7" t="s">
        <v>21</v>
      </c>
      <c r="L11" s="7"/>
      <c r="M11" s="7"/>
      <c r="N11" s="18"/>
      <c r="O11" s="6"/>
    </row>
    <row r="12" s="18" customFormat="1" ht="85.5" spans="1:16">
      <c r="A12" s="7">
        <v>11</v>
      </c>
      <c r="B12" s="26">
        <v>45964</v>
      </c>
      <c r="C12" s="8" t="s">
        <v>30</v>
      </c>
      <c r="D12" s="7" cm="1">
        <f t="array" ref="D12">SUM(VALUE(SUBSTITUTE(_xlfn.TEXTAFTER(_xlfn.TEXTSPLIT(C12,CHAR(10)),"-",-1),"km","")))</f>
        <v>124.8</v>
      </c>
      <c r="E12" s="9">
        <f t="shared" si="0"/>
        <v>4.12844036697248</v>
      </c>
      <c r="F12" s="9">
        <f t="shared" si="4"/>
        <v>4.5</v>
      </c>
      <c r="G12" s="9">
        <f t="shared" si="1"/>
        <v>515.229357798166</v>
      </c>
      <c r="H12" s="9">
        <f t="shared" si="2"/>
        <v>561.6</v>
      </c>
      <c r="I12" s="9">
        <f t="shared" si="5"/>
        <v>3.5</v>
      </c>
      <c r="J12" s="9">
        <f t="shared" si="3"/>
        <v>436.8</v>
      </c>
      <c r="K12" s="7" t="s">
        <v>17</v>
      </c>
      <c r="L12" s="7"/>
      <c r="M12" s="7"/>
      <c r="N12" s="18"/>
      <c r="O12" s="6"/>
    </row>
    <row r="13" s="18" customFormat="1" ht="71.25" spans="1:16">
      <c r="A13" s="7">
        <v>12</v>
      </c>
      <c r="B13" s="26">
        <v>45965</v>
      </c>
      <c r="C13" s="8" t="s">
        <v>31</v>
      </c>
      <c r="D13" s="7" cm="1">
        <f t="array" ref="D13">SUM(VALUE(SUBSTITUTE(_xlfn.TEXTAFTER(_xlfn.TEXTSPLIT(C13,CHAR(10)),"-",-1),"km","")))</f>
        <v>485</v>
      </c>
      <c r="E13" s="9">
        <f t="shared" si="0"/>
        <v>3.76146788990826</v>
      </c>
      <c r="F13" s="9">
        <f t="shared" si="4"/>
        <v>4.1</v>
      </c>
      <c r="G13" s="9">
        <f t="shared" si="1"/>
        <v>1824.31192660551</v>
      </c>
      <c r="H13" s="9">
        <f t="shared" si="2"/>
        <v>1988.5</v>
      </c>
      <c r="I13" s="9">
        <f t="shared" si="5"/>
        <v>3.2</v>
      </c>
      <c r="J13" s="9">
        <f t="shared" si="3"/>
        <v>1552</v>
      </c>
      <c r="K13" s="7" t="s">
        <v>17</v>
      </c>
      <c r="L13" s="7"/>
      <c r="M13" s="7"/>
      <c r="N13" s="18"/>
      <c r="O13" s="6"/>
    </row>
    <row r="14" s="18" customFormat="1" ht="57" spans="1:16">
      <c r="A14" s="7">
        <v>13</v>
      </c>
      <c r="B14" s="26">
        <v>45965</v>
      </c>
      <c r="C14" s="8" t="s">
        <v>32</v>
      </c>
      <c r="D14" s="7" cm="1">
        <f t="array" ref="D14">SUM(VALUE(SUBSTITUTE(_xlfn.TEXTAFTER(_xlfn.TEXTSPLIT(C14,CHAR(10)),"-",-1),"km","")))</f>
        <v>416</v>
      </c>
      <c r="E14" s="9">
        <f t="shared" si="0"/>
        <v>3.76146788990826</v>
      </c>
      <c r="F14" s="9">
        <f t="shared" si="4"/>
        <v>4.1</v>
      </c>
      <c r="G14" s="9">
        <f t="shared" si="1"/>
        <v>1564.77064220184</v>
      </c>
      <c r="H14" s="9">
        <f t="shared" si="2"/>
        <v>1705.6</v>
      </c>
      <c r="I14" s="9">
        <f t="shared" si="5"/>
        <v>3.2</v>
      </c>
      <c r="J14" s="9">
        <f t="shared" si="3"/>
        <v>1331.2</v>
      </c>
      <c r="K14" s="7" t="s">
        <v>21</v>
      </c>
      <c r="L14" s="7"/>
      <c r="M14" s="7"/>
      <c r="N14" s="18"/>
      <c r="O14" s="6"/>
    </row>
    <row r="15" s="18" customFormat="1" ht="71.25" spans="1:16">
      <c r="A15" s="7">
        <v>14</v>
      </c>
      <c r="B15" s="26">
        <v>45965</v>
      </c>
      <c r="C15" s="8" t="s">
        <v>33</v>
      </c>
      <c r="D15" s="7" cm="1">
        <f t="array" ref="D15">SUM(VALUE(SUBSTITUTE(_xlfn.TEXTAFTER(_xlfn.TEXTSPLIT(C15,CHAR(10)),"-",-1),"km","")))</f>
        <v>356</v>
      </c>
      <c r="E15" s="9">
        <f t="shared" si="0"/>
        <v>3.76146788990826</v>
      </c>
      <c r="F15" s="9">
        <f t="shared" si="4"/>
        <v>4.1</v>
      </c>
      <c r="G15" s="9">
        <f t="shared" si="1"/>
        <v>1339.08256880734</v>
      </c>
      <c r="H15" s="9">
        <f t="shared" si="2"/>
        <v>1459.6</v>
      </c>
      <c r="I15" s="9">
        <f t="shared" si="5"/>
        <v>3.2</v>
      </c>
      <c r="J15" s="9">
        <f t="shared" si="3"/>
        <v>1139.2</v>
      </c>
      <c r="K15" s="7" t="s">
        <v>28</v>
      </c>
      <c r="L15" s="7"/>
      <c r="M15" s="7"/>
      <c r="N15" s="18"/>
      <c r="O15" s="6"/>
    </row>
    <row r="16" s="18" customFormat="1" ht="71.25" spans="1:16">
      <c r="A16" s="7">
        <v>15</v>
      </c>
      <c r="B16" s="26">
        <v>45965</v>
      </c>
      <c r="C16" s="8" t="s">
        <v>34</v>
      </c>
      <c r="D16" s="7" cm="1">
        <f t="array" ref="D16">SUM(VALUE(SUBSTITUTE(_xlfn.TEXTAFTER(_xlfn.TEXTSPLIT(C16,CHAR(10)),"-",-1),"km","")))</f>
        <v>620</v>
      </c>
      <c r="E16" s="9">
        <f t="shared" si="0"/>
        <v>3.76146788990826</v>
      </c>
      <c r="F16" s="9">
        <f t="shared" si="4"/>
        <v>4.1</v>
      </c>
      <c r="G16" s="9">
        <f t="shared" si="1"/>
        <v>2332.11009174312</v>
      </c>
      <c r="H16" s="9">
        <f t="shared" si="2"/>
        <v>2542</v>
      </c>
      <c r="I16" s="9">
        <f t="shared" si="5"/>
        <v>3.2</v>
      </c>
      <c r="J16" s="9">
        <f t="shared" si="3"/>
        <v>1984</v>
      </c>
      <c r="K16" s="7" t="s">
        <v>25</v>
      </c>
      <c r="L16" s="7"/>
      <c r="M16" s="7"/>
      <c r="N16" s="18"/>
      <c r="O16" s="6"/>
    </row>
    <row r="17" s="18" customFormat="1" ht="29" customHeight="1" spans="1:15">
      <c r="A17" s="7">
        <v>16</v>
      </c>
      <c r="B17" s="26">
        <v>45965</v>
      </c>
      <c r="C17" s="8" t="s">
        <v>35</v>
      </c>
      <c r="D17" s="7" cm="1">
        <f t="array" ref="D17">SUM(VALUE(SUBSTITUTE(_xlfn.TEXTAFTER(_xlfn.TEXTSPLIT(C17,CHAR(10)),"-",-1),"km","")))</f>
        <v>419</v>
      </c>
      <c r="E17" s="9">
        <f t="shared" si="0"/>
        <v>3.76146788990826</v>
      </c>
      <c r="F17" s="9">
        <f t="shared" si="4"/>
        <v>4.1</v>
      </c>
      <c r="G17" s="9">
        <f t="shared" si="1"/>
        <v>1576.05504587156</v>
      </c>
      <c r="H17" s="9">
        <f t="shared" si="2"/>
        <v>1717.9</v>
      </c>
      <c r="I17" s="9">
        <f t="shared" si="5"/>
        <v>3.2</v>
      </c>
      <c r="J17" s="9">
        <f t="shared" si="3"/>
        <v>1340.8</v>
      </c>
      <c r="K17" s="7" t="s">
        <v>36</v>
      </c>
      <c r="L17" s="7"/>
      <c r="M17" s="7"/>
      <c r="N17" s="18"/>
      <c r="O17" s="6"/>
    </row>
    <row r="18" s="18" customFormat="1" ht="85.5" spans="1:15">
      <c r="A18" s="7">
        <v>17</v>
      </c>
      <c r="B18" s="26">
        <v>45966</v>
      </c>
      <c r="C18" s="8" t="s">
        <v>37</v>
      </c>
      <c r="D18" s="7" cm="1">
        <f t="array" ref="D18">SUM(VALUE(SUBSTITUTE(_xlfn.TEXTAFTER(_xlfn.TEXTSPLIT(C18,CHAR(10)),"-",-1),"km","")))</f>
        <v>189.3</v>
      </c>
      <c r="E18" s="9">
        <f t="shared" si="0"/>
        <v>4.12844036697248</v>
      </c>
      <c r="F18" s="9">
        <f t="shared" si="4"/>
        <v>4.5</v>
      </c>
      <c r="G18" s="9">
        <f t="shared" si="1"/>
        <v>781.513761467891</v>
      </c>
      <c r="H18" s="9">
        <f t="shared" si="2"/>
        <v>851.85</v>
      </c>
      <c r="I18" s="9">
        <f t="shared" si="5"/>
        <v>3.5</v>
      </c>
      <c r="J18" s="9">
        <f t="shared" si="3"/>
        <v>662.55</v>
      </c>
      <c r="K18" s="7" t="s">
        <v>19</v>
      </c>
      <c r="L18" s="7"/>
      <c r="M18" s="7"/>
      <c r="N18" s="18"/>
      <c r="O18" s="6"/>
    </row>
    <row r="19" s="18" customFormat="1" ht="85.5" spans="1:15">
      <c r="A19" s="7">
        <v>18</v>
      </c>
      <c r="B19" s="26">
        <v>45966</v>
      </c>
      <c r="C19" s="8" t="s">
        <v>38</v>
      </c>
      <c r="D19" s="7" cm="1">
        <f t="array" ref="D19">SUM(VALUE(SUBSTITUTE(_xlfn.TEXTAFTER(_xlfn.TEXTSPLIT(C19,CHAR(10)),"-",-1),"km","")))</f>
        <v>222.7</v>
      </c>
      <c r="E19" s="9">
        <f t="shared" si="0"/>
        <v>3.94495412844037</v>
      </c>
      <c r="F19" s="9">
        <f t="shared" si="4"/>
        <v>4.3</v>
      </c>
      <c r="G19" s="9">
        <f t="shared" si="1"/>
        <v>878.54128440367</v>
      </c>
      <c r="H19" s="9">
        <f t="shared" si="2"/>
        <v>957.61</v>
      </c>
      <c r="I19" s="9">
        <f t="shared" si="5"/>
        <v>3.5</v>
      </c>
      <c r="J19" s="9">
        <f t="shared" si="3"/>
        <v>779.45</v>
      </c>
      <c r="K19" s="7" t="s">
        <v>15</v>
      </c>
      <c r="L19" s="7"/>
      <c r="M19" s="7"/>
      <c r="N19" s="18"/>
      <c r="O19" s="6"/>
    </row>
    <row r="20" s="18" customFormat="1" ht="71.25" spans="1:15">
      <c r="A20" s="7">
        <v>19</v>
      </c>
      <c r="B20" s="26">
        <v>45966</v>
      </c>
      <c r="C20" s="8" t="s">
        <v>39</v>
      </c>
      <c r="D20" s="7" cm="1">
        <f t="array" ref="D20">SUM(VALUE(SUBSTITUTE(_xlfn.TEXTAFTER(_xlfn.TEXTSPLIT(C20,CHAR(10)),"-",-1),"km","")))</f>
        <v>245.6</v>
      </c>
      <c r="E20" s="9">
        <f t="shared" si="0"/>
        <v>3.94495412844037</v>
      </c>
      <c r="F20" s="9">
        <f t="shared" si="4"/>
        <v>4.3</v>
      </c>
      <c r="G20" s="9">
        <f t="shared" si="1"/>
        <v>968.880733944955</v>
      </c>
      <c r="H20" s="9">
        <f t="shared" si="2"/>
        <v>1056.08</v>
      </c>
      <c r="I20" s="9">
        <f t="shared" si="5"/>
        <v>3.5</v>
      </c>
      <c r="J20" s="9">
        <f t="shared" si="3"/>
        <v>859.6</v>
      </c>
      <c r="K20" s="7" t="s">
        <v>13</v>
      </c>
      <c r="L20" s="7"/>
      <c r="M20" s="7"/>
      <c r="N20" s="18"/>
      <c r="O20" s="6"/>
    </row>
    <row r="21" s="18" customFormat="1" ht="71.25" spans="1:15">
      <c r="A21" s="7">
        <v>20</v>
      </c>
      <c r="B21" s="26">
        <v>45966</v>
      </c>
      <c r="C21" s="8" t="s">
        <v>40</v>
      </c>
      <c r="D21" s="7" cm="1">
        <f t="array" ref="D21">SUM(VALUE(SUBSTITUTE(_xlfn.TEXTAFTER(_xlfn.TEXTSPLIT(C21,CHAR(10)),"-",-1),"km","")))</f>
        <v>183.6</v>
      </c>
      <c r="E21" s="9">
        <f t="shared" si="0"/>
        <v>4.12844036697248</v>
      </c>
      <c r="F21" s="9">
        <f t="shared" si="4"/>
        <v>4.5</v>
      </c>
      <c r="G21" s="9">
        <f t="shared" si="1"/>
        <v>757.981651376147</v>
      </c>
      <c r="H21" s="9">
        <f t="shared" si="2"/>
        <v>826.2</v>
      </c>
      <c r="I21" s="9">
        <f t="shared" si="5"/>
        <v>3.5</v>
      </c>
      <c r="J21" s="9">
        <f t="shared" si="3"/>
        <v>642.6</v>
      </c>
      <c r="K21" s="7" t="s">
        <v>41</v>
      </c>
      <c r="L21" s="7"/>
      <c r="M21" s="7"/>
      <c r="N21" s="18"/>
      <c r="O21" s="6"/>
    </row>
    <row r="22" s="18" customFormat="1" ht="85.5" spans="1:15">
      <c r="A22" s="7">
        <v>21</v>
      </c>
      <c r="B22" s="26">
        <v>45967</v>
      </c>
      <c r="C22" s="8" t="s">
        <v>42</v>
      </c>
      <c r="D22" s="7" cm="1">
        <f t="array" ref="D22">SUM(VALUE(SUBSTITUTE(_xlfn.TEXTAFTER(_xlfn.TEXTSPLIT(C22,CHAR(10)),"-",-1),"km","")))</f>
        <v>493</v>
      </c>
      <c r="E22" s="9">
        <f t="shared" si="0"/>
        <v>3.76146788990826</v>
      </c>
      <c r="F22" s="9">
        <f t="shared" si="4"/>
        <v>4.1</v>
      </c>
      <c r="G22" s="9">
        <f t="shared" si="1"/>
        <v>1854.40366972477</v>
      </c>
      <c r="H22" s="9">
        <f t="shared" si="2"/>
        <v>2021.3</v>
      </c>
      <c r="I22" s="9">
        <f t="shared" si="5"/>
        <v>3.2</v>
      </c>
      <c r="J22" s="9">
        <f t="shared" si="3"/>
        <v>1577.6</v>
      </c>
      <c r="K22" s="7" t="s">
        <v>17</v>
      </c>
      <c r="L22" s="7"/>
      <c r="M22" s="7"/>
      <c r="N22" s="18"/>
      <c r="O22" s="6"/>
    </row>
    <row r="23" s="18" customFormat="1" ht="114" spans="1:15">
      <c r="A23" s="7">
        <v>22</v>
      </c>
      <c r="B23" s="26">
        <v>45967</v>
      </c>
      <c r="C23" s="8" t="s">
        <v>43</v>
      </c>
      <c r="D23" s="7" cm="1">
        <f t="array" ref="D23">SUM(VALUE(SUBSTITUTE(_xlfn.TEXTAFTER(_xlfn.TEXTSPLIT(C23,CHAR(10)),"-",-1),"km","")))</f>
        <v>694</v>
      </c>
      <c r="E23" s="9">
        <f t="shared" si="0"/>
        <v>3.76146788990826</v>
      </c>
      <c r="F23" s="9">
        <f t="shared" si="4"/>
        <v>4.1</v>
      </c>
      <c r="G23" s="9">
        <f t="shared" si="1"/>
        <v>2610.45871559633</v>
      </c>
      <c r="H23" s="9">
        <f t="shared" si="2"/>
        <v>2845.4</v>
      </c>
      <c r="I23" s="9">
        <f t="shared" si="5"/>
        <v>3.2</v>
      </c>
      <c r="J23" s="9">
        <f t="shared" si="3"/>
        <v>2220.8</v>
      </c>
      <c r="K23" s="7" t="s">
        <v>15</v>
      </c>
      <c r="L23" s="7"/>
      <c r="M23" s="7"/>
      <c r="N23" s="18"/>
      <c r="O23" s="6"/>
    </row>
    <row r="24" s="18" customFormat="1" ht="85.5" spans="1:15">
      <c r="A24" s="7">
        <v>23</v>
      </c>
      <c r="B24" s="26">
        <v>45967</v>
      </c>
      <c r="C24" s="8" t="s">
        <v>44</v>
      </c>
      <c r="D24" s="7" cm="1">
        <f t="array" ref="D24">SUM(VALUE(SUBSTITUTE(_xlfn.TEXTAFTER(_xlfn.TEXTSPLIT(C24,CHAR(10)),"-",-1),"km","")))</f>
        <v>343.8</v>
      </c>
      <c r="E24" s="9">
        <f t="shared" si="0"/>
        <v>3.76146788990826</v>
      </c>
      <c r="F24" s="9">
        <f t="shared" si="4"/>
        <v>4.1</v>
      </c>
      <c r="G24" s="9">
        <f t="shared" si="1"/>
        <v>1293.19266055046</v>
      </c>
      <c r="H24" s="9">
        <f t="shared" si="2"/>
        <v>1409.58</v>
      </c>
      <c r="I24" s="9">
        <f t="shared" si="5"/>
        <v>3.2</v>
      </c>
      <c r="J24" s="9">
        <f t="shared" si="3"/>
        <v>1100.16</v>
      </c>
      <c r="K24" s="7" t="s">
        <v>19</v>
      </c>
      <c r="L24" s="7"/>
      <c r="M24" s="7"/>
      <c r="N24" s="18"/>
      <c r="O24" s="6"/>
    </row>
    <row r="25" s="18" customFormat="1" ht="99.75" spans="1:15">
      <c r="A25" s="7">
        <v>24</v>
      </c>
      <c r="B25" s="26">
        <v>45968</v>
      </c>
      <c r="C25" s="8" t="s">
        <v>45</v>
      </c>
      <c r="D25" s="7" cm="1">
        <f t="array" ref="D25">SUM(VALUE(SUBSTITUTE(_xlfn.TEXTAFTER(_xlfn.TEXTSPLIT(C25,CHAR(10)),"-",-1),"km","")))</f>
        <v>291.3</v>
      </c>
      <c r="E25" s="9">
        <f t="shared" si="0"/>
        <v>3.94495412844037</v>
      </c>
      <c r="F25" s="9">
        <f t="shared" si="4"/>
        <v>4.3</v>
      </c>
      <c r="G25" s="9">
        <f t="shared" si="1"/>
        <v>1149.16513761468</v>
      </c>
      <c r="H25" s="9">
        <f t="shared" si="2"/>
        <v>1252.59</v>
      </c>
      <c r="I25" s="9">
        <f t="shared" si="5"/>
        <v>3.5</v>
      </c>
      <c r="J25" s="9">
        <f t="shared" si="3"/>
        <v>1019.55</v>
      </c>
      <c r="K25" s="7" t="s">
        <v>28</v>
      </c>
      <c r="L25" s="7"/>
      <c r="M25" s="7"/>
      <c r="N25" s="18"/>
      <c r="O25" s="6"/>
    </row>
    <row r="26" s="18" customFormat="1" ht="100" customHeight="1" spans="1:15">
      <c r="A26" s="7">
        <v>25</v>
      </c>
      <c r="B26" s="26">
        <v>45968</v>
      </c>
      <c r="C26" s="8" t="s">
        <v>46</v>
      </c>
      <c r="D26" s="7" cm="1">
        <f t="array" ref="D26">SUM(VALUE(SUBSTITUTE(_xlfn.TEXTAFTER(_xlfn.TEXTSPLIT(C26,CHAR(10)),"-",-1),"km","")))</f>
        <v>204</v>
      </c>
      <c r="E26" s="9">
        <f t="shared" si="0"/>
        <v>3.94495412844037</v>
      </c>
      <c r="F26" s="9">
        <f t="shared" si="4"/>
        <v>4.3</v>
      </c>
      <c r="G26" s="9">
        <f t="shared" si="1"/>
        <v>804.770642201835</v>
      </c>
      <c r="H26" s="9">
        <f t="shared" si="2"/>
        <v>877.2</v>
      </c>
      <c r="I26" s="9">
        <f t="shared" si="5"/>
        <v>3.5</v>
      </c>
      <c r="J26" s="9">
        <f t="shared" si="3"/>
        <v>714</v>
      </c>
      <c r="K26" s="7" t="s">
        <v>13</v>
      </c>
      <c r="L26" s="7"/>
      <c r="M26" s="7"/>
      <c r="N26" s="18"/>
      <c r="O26" s="6"/>
    </row>
    <row r="27" s="18" customFormat="1" ht="99.75" spans="1:15">
      <c r="A27" s="7">
        <v>26</v>
      </c>
      <c r="B27" s="26">
        <v>45968</v>
      </c>
      <c r="C27" s="8" t="s">
        <v>47</v>
      </c>
      <c r="D27" s="7" cm="1">
        <f t="array" ref="D27">SUM(VALUE(SUBSTITUTE(_xlfn.TEXTAFTER(_xlfn.TEXTSPLIT(C27,CHAR(10)),"-",-1),"km","")))</f>
        <v>280.7</v>
      </c>
      <c r="E27" s="9">
        <f t="shared" si="0"/>
        <v>3.94495412844037</v>
      </c>
      <c r="F27" s="9">
        <f t="shared" si="4"/>
        <v>4.3</v>
      </c>
      <c r="G27" s="9">
        <f t="shared" si="1"/>
        <v>1107.34862385321</v>
      </c>
      <c r="H27" s="9">
        <f t="shared" si="2"/>
        <v>1207.01</v>
      </c>
      <c r="I27" s="9">
        <f t="shared" si="5"/>
        <v>3.5</v>
      </c>
      <c r="J27" s="9">
        <f t="shared" si="3"/>
        <v>982.45</v>
      </c>
      <c r="K27" s="7" t="s">
        <v>25</v>
      </c>
      <c r="L27" s="7"/>
      <c r="M27" s="7"/>
      <c r="N27" s="18"/>
      <c r="O27" s="6"/>
    </row>
    <row r="28" s="18" customFormat="1" ht="85.5" spans="1:15">
      <c r="A28" s="7">
        <v>27</v>
      </c>
      <c r="B28" s="26">
        <v>45969</v>
      </c>
      <c r="C28" s="8" t="s">
        <v>48</v>
      </c>
      <c r="D28" s="7" cm="1">
        <f t="array" ref="D28">SUM(VALUE(SUBSTITUTE(_xlfn.TEXTAFTER(_xlfn.TEXTSPLIT(C28,CHAR(10)),"-",-1),"km","")))</f>
        <v>329.2</v>
      </c>
      <c r="E28" s="9">
        <f t="shared" si="0"/>
        <v>3.76146788990826</v>
      </c>
      <c r="F28" s="9">
        <f t="shared" si="4"/>
        <v>4.1</v>
      </c>
      <c r="G28" s="9">
        <f t="shared" si="1"/>
        <v>1238.2752293578</v>
      </c>
      <c r="H28" s="9">
        <f t="shared" si="2"/>
        <v>1349.72</v>
      </c>
      <c r="I28" s="9">
        <f t="shared" si="5"/>
        <v>3.2</v>
      </c>
      <c r="J28" s="9">
        <f t="shared" si="3"/>
        <v>1053.44</v>
      </c>
      <c r="K28" s="7" t="s">
        <v>19</v>
      </c>
      <c r="L28" s="7"/>
      <c r="M28" s="7"/>
      <c r="N28" s="18"/>
      <c r="O28" s="6"/>
    </row>
    <row r="29" s="18" customFormat="1" ht="85.5" spans="1:15">
      <c r="A29" s="7">
        <v>28</v>
      </c>
      <c r="B29" s="26">
        <v>45969</v>
      </c>
      <c r="C29" s="8" t="s">
        <v>49</v>
      </c>
      <c r="D29" s="7" cm="1">
        <f t="array" ref="D29">SUM(VALUE(SUBSTITUTE(_xlfn.TEXTAFTER(_xlfn.TEXTSPLIT(C29,CHAR(10)),"-",-1),"km","")))</f>
        <v>483.5</v>
      </c>
      <c r="E29" s="9">
        <f t="shared" si="0"/>
        <v>3.76146788990826</v>
      </c>
      <c r="F29" s="9">
        <f t="shared" si="4"/>
        <v>4.1</v>
      </c>
      <c r="G29" s="9">
        <f t="shared" si="1"/>
        <v>1818.66972477064</v>
      </c>
      <c r="H29" s="9">
        <f t="shared" si="2"/>
        <v>1982.35</v>
      </c>
      <c r="I29" s="9">
        <f t="shared" si="5"/>
        <v>3.2</v>
      </c>
      <c r="J29" s="9">
        <f t="shared" si="3"/>
        <v>1547.2</v>
      </c>
      <c r="K29" s="7" t="s">
        <v>25</v>
      </c>
      <c r="L29" s="7"/>
      <c r="M29" s="7"/>
      <c r="N29" s="18"/>
      <c r="O29" s="6"/>
    </row>
    <row r="30" s="18" customFormat="1" ht="99.75" spans="1:15">
      <c r="A30" s="7">
        <v>29</v>
      </c>
      <c r="B30" s="26">
        <v>45969</v>
      </c>
      <c r="C30" s="8" t="s">
        <v>50</v>
      </c>
      <c r="D30" s="7" cm="1">
        <f t="array" ref="D30">SUM(VALUE(SUBSTITUTE(_xlfn.TEXTAFTER(_xlfn.TEXTSPLIT(C30,CHAR(10)),"-",-1),"km","")))</f>
        <v>654</v>
      </c>
      <c r="E30" s="9">
        <f t="shared" si="0"/>
        <v>3.76146788990826</v>
      </c>
      <c r="F30" s="9">
        <f t="shared" si="4"/>
        <v>4.1</v>
      </c>
      <c r="G30" s="9">
        <f t="shared" si="1"/>
        <v>2460</v>
      </c>
      <c r="H30" s="9">
        <f t="shared" si="2"/>
        <v>2681.4</v>
      </c>
      <c r="I30" s="9">
        <f t="shared" si="5"/>
        <v>3.2</v>
      </c>
      <c r="J30" s="9">
        <f t="shared" si="3"/>
        <v>2092.8</v>
      </c>
      <c r="K30" s="7" t="s">
        <v>28</v>
      </c>
      <c r="L30" s="7"/>
      <c r="M30" s="7"/>
      <c r="N30" s="18"/>
      <c r="O30" s="6"/>
    </row>
    <row r="31" s="6" customFormat="1" ht="85.5" spans="1:15">
      <c r="A31" s="7">
        <v>30</v>
      </c>
      <c r="B31" s="26">
        <v>45970</v>
      </c>
      <c r="C31" s="8" t="s">
        <v>51</v>
      </c>
      <c r="D31" s="7" cm="1">
        <f t="array" ref="D31">SUM(VALUE(SUBSTITUTE(_xlfn.TEXTAFTER(_xlfn.TEXTSPLIT(C31,CHAR(10)),"-",-1),"km","")))</f>
        <v>283.7</v>
      </c>
      <c r="E31" s="9">
        <f t="shared" si="0"/>
        <v>3.94495412844037</v>
      </c>
      <c r="F31" s="9">
        <f t="shared" si="4"/>
        <v>4.3</v>
      </c>
      <c r="G31" s="9">
        <f t="shared" si="1"/>
        <v>1119.18348623853</v>
      </c>
      <c r="H31" s="9">
        <f t="shared" si="2"/>
        <v>1219.91</v>
      </c>
      <c r="I31" s="9">
        <f t="shared" si="5"/>
        <v>3.5</v>
      </c>
      <c r="J31" s="9">
        <f t="shared" si="3"/>
        <v>992.95</v>
      </c>
      <c r="K31" s="7" t="s">
        <v>17</v>
      </c>
      <c r="L31" s="7"/>
      <c r="M31" s="7"/>
    </row>
    <row r="32" s="6" customFormat="1" ht="57" spans="1:15">
      <c r="A32" s="7">
        <v>31</v>
      </c>
      <c r="B32" s="26">
        <v>45970</v>
      </c>
      <c r="C32" s="8" t="s">
        <v>52</v>
      </c>
      <c r="D32" s="7" cm="1">
        <f t="array" ref="D32">SUM(VALUE(SUBSTITUTE(_xlfn.TEXTAFTER(_xlfn.TEXTSPLIT(C32,CHAR(10)),"-",-1),"km","")))</f>
        <v>139.1</v>
      </c>
      <c r="E32" s="9">
        <f t="shared" si="0"/>
        <v>4.12844036697248</v>
      </c>
      <c r="F32" s="9">
        <f t="shared" si="4"/>
        <v>4.5</v>
      </c>
      <c r="G32" s="9">
        <f t="shared" si="1"/>
        <v>574.266055045872</v>
      </c>
      <c r="H32" s="9">
        <f t="shared" si="2"/>
        <v>625.95</v>
      </c>
      <c r="I32" s="9">
        <f t="shared" si="5"/>
        <v>3.5</v>
      </c>
      <c r="J32" s="9">
        <f t="shared" si="3"/>
        <v>486.85</v>
      </c>
      <c r="K32" s="7" t="s">
        <v>19</v>
      </c>
      <c r="L32" s="9"/>
      <c r="M32" s="7"/>
    </row>
    <row r="33" s="6" customFormat="1" ht="57" spans="1:13">
      <c r="A33" s="7">
        <v>32</v>
      </c>
      <c r="B33" s="26">
        <v>45971</v>
      </c>
      <c r="C33" s="8" t="s">
        <v>53</v>
      </c>
      <c r="D33" s="7" cm="1">
        <f t="array" ref="D33">SUM(VALUE(SUBSTITUTE(_xlfn.TEXTAFTER(_xlfn.TEXTSPLIT(C33,CHAR(10)),"-",-1),"km","")))</f>
        <v>219</v>
      </c>
      <c r="E33" s="9">
        <f t="shared" si="0"/>
        <v>3.94495412844037</v>
      </c>
      <c r="F33" s="9">
        <f t="shared" si="4"/>
        <v>4.3</v>
      </c>
      <c r="G33" s="9">
        <f t="shared" si="1"/>
        <v>863.944954128441</v>
      </c>
      <c r="H33" s="9">
        <f t="shared" si="2"/>
        <v>941.7</v>
      </c>
      <c r="I33" s="9">
        <f t="shared" si="5"/>
        <v>3.5</v>
      </c>
      <c r="J33" s="9">
        <f t="shared" si="3"/>
        <v>766.5</v>
      </c>
      <c r="K33" s="7" t="s">
        <v>25</v>
      </c>
      <c r="L33" s="7"/>
      <c r="M33" s="9"/>
    </row>
    <row r="34" s="6" customFormat="1" ht="57" spans="1:13">
      <c r="A34" s="7">
        <v>33</v>
      </c>
      <c r="B34" s="26">
        <v>45971</v>
      </c>
      <c r="C34" s="8" t="s">
        <v>54</v>
      </c>
      <c r="D34" s="7" cm="1">
        <f t="array" ref="D34">SUM(VALUE(SUBSTITUTE(_xlfn.TEXTAFTER(_xlfn.TEXTSPLIT(C34,CHAR(10)),"-",-1),"km","")))</f>
        <v>177.6</v>
      </c>
      <c r="E34" s="9">
        <f t="shared" si="0"/>
        <v>4.12844036697248</v>
      </c>
      <c r="F34" s="9">
        <f t="shared" si="4"/>
        <v>4.5</v>
      </c>
      <c r="G34" s="9">
        <f t="shared" si="1"/>
        <v>733.211009174312</v>
      </c>
      <c r="H34" s="9">
        <f t="shared" si="2"/>
        <v>799.2</v>
      </c>
      <c r="I34" s="9">
        <f t="shared" si="5"/>
        <v>3.5</v>
      </c>
      <c r="J34" s="9">
        <f t="shared" si="3"/>
        <v>621.6</v>
      </c>
      <c r="K34" s="7" t="s">
        <v>19</v>
      </c>
      <c r="L34" s="7"/>
      <c r="M34" s="7"/>
    </row>
    <row r="35" s="6" customFormat="1" ht="57" spans="1:13">
      <c r="A35" s="7">
        <v>34</v>
      </c>
      <c r="B35" s="26">
        <v>45971</v>
      </c>
      <c r="C35" s="8" t="s">
        <v>55</v>
      </c>
      <c r="D35" s="7" cm="1">
        <f t="array" ref="D35">SUM(VALUE(SUBSTITUTE(_xlfn.TEXTAFTER(_xlfn.TEXTSPLIT(C35,CHAR(10)),"-",-1),"km","")))</f>
        <v>144</v>
      </c>
      <c r="E35" s="9">
        <f t="shared" si="0"/>
        <v>4.12844036697248</v>
      </c>
      <c r="F35" s="9">
        <f t="shared" si="4"/>
        <v>4.5</v>
      </c>
      <c r="G35" s="9">
        <f t="shared" si="1"/>
        <v>594.495412844037</v>
      </c>
      <c r="H35" s="9">
        <f t="shared" si="2"/>
        <v>648</v>
      </c>
      <c r="I35" s="9">
        <f t="shared" si="5"/>
        <v>3.5</v>
      </c>
      <c r="J35" s="9">
        <f t="shared" si="3"/>
        <v>504</v>
      </c>
      <c r="K35" s="7" t="s">
        <v>13</v>
      </c>
      <c r="L35" s="7"/>
      <c r="M35" s="7"/>
    </row>
    <row r="36" s="6" customFormat="1" ht="28.5" spans="1:13">
      <c r="A36" s="7">
        <v>35</v>
      </c>
      <c r="B36" s="26">
        <v>45971</v>
      </c>
      <c r="C36" s="8" t="s">
        <v>56</v>
      </c>
      <c r="D36" s="7" cm="1">
        <f t="array" ref="D36">SUM(VALUE(SUBSTITUTE(_xlfn.TEXTAFTER(_xlfn.TEXTSPLIT(C36,CHAR(10)),"-",-1),"km","")))</f>
        <v>206</v>
      </c>
      <c r="E36" s="9">
        <f t="shared" si="0"/>
        <v>3.94495412844037</v>
      </c>
      <c r="F36" s="9">
        <f t="shared" si="4"/>
        <v>4.3</v>
      </c>
      <c r="G36" s="9">
        <f t="shared" si="1"/>
        <v>812.660550458716</v>
      </c>
      <c r="H36" s="9">
        <f t="shared" si="2"/>
        <v>885.8</v>
      </c>
      <c r="I36" s="9">
        <f t="shared" si="5"/>
        <v>3.5</v>
      </c>
      <c r="J36" s="9">
        <f t="shared" si="3"/>
        <v>721</v>
      </c>
      <c r="K36" s="7" t="s">
        <v>41</v>
      </c>
      <c r="L36" s="7"/>
      <c r="M36" s="7"/>
    </row>
    <row r="37" s="6" customFormat="1" ht="57" spans="1:13">
      <c r="A37" s="7">
        <v>36</v>
      </c>
      <c r="B37" s="26">
        <v>45972</v>
      </c>
      <c r="C37" s="8" t="s">
        <v>57</v>
      </c>
      <c r="D37" s="7" cm="1">
        <f t="array" ref="D37">SUM(VALUE(SUBSTITUTE(_xlfn.TEXTAFTER(_xlfn.TEXTSPLIT(C37,CHAR(10)),"-",-1),"km","")))</f>
        <v>477</v>
      </c>
      <c r="E37" s="9">
        <f t="shared" si="0"/>
        <v>3.76146788990826</v>
      </c>
      <c r="F37" s="9">
        <f t="shared" si="4"/>
        <v>4.1</v>
      </c>
      <c r="G37" s="9">
        <f t="shared" si="1"/>
        <v>1794.22018348624</v>
      </c>
      <c r="H37" s="9">
        <f t="shared" si="2"/>
        <v>1955.7</v>
      </c>
      <c r="I37" s="9">
        <f t="shared" si="5"/>
        <v>3.2</v>
      </c>
      <c r="J37" s="9">
        <f t="shared" si="3"/>
        <v>1526.4</v>
      </c>
      <c r="K37" s="7" t="s">
        <v>13</v>
      </c>
      <c r="L37" s="7"/>
      <c r="M37" s="7"/>
    </row>
    <row r="38" s="6" customFormat="1" ht="71.25" spans="1:13">
      <c r="A38" s="7">
        <v>37</v>
      </c>
      <c r="B38" s="26">
        <v>45972</v>
      </c>
      <c r="C38" s="8" t="s">
        <v>58</v>
      </c>
      <c r="D38" s="7" cm="1">
        <f t="array" ref="D38">SUM(VALUE(SUBSTITUTE(_xlfn.TEXTAFTER(_xlfn.TEXTSPLIT(C38,CHAR(10)),"-",-1),"km","")))</f>
        <v>481</v>
      </c>
      <c r="E38" s="9">
        <f t="shared" si="0"/>
        <v>3.76146788990826</v>
      </c>
      <c r="F38" s="9">
        <f t="shared" si="4"/>
        <v>4.1</v>
      </c>
      <c r="G38" s="9">
        <f t="shared" si="1"/>
        <v>1809.26605504587</v>
      </c>
      <c r="H38" s="9">
        <f t="shared" si="2"/>
        <v>1972.1</v>
      </c>
      <c r="I38" s="9">
        <f t="shared" si="5"/>
        <v>3.2</v>
      </c>
      <c r="J38" s="9">
        <f t="shared" si="3"/>
        <v>1539.2</v>
      </c>
      <c r="K38" s="7" t="s">
        <v>25</v>
      </c>
      <c r="L38" s="7"/>
      <c r="M38" s="7"/>
    </row>
    <row r="39" s="6" customFormat="1" ht="71.25" spans="1:13">
      <c r="A39" s="7">
        <v>38</v>
      </c>
      <c r="B39" s="26">
        <v>45972</v>
      </c>
      <c r="C39" s="8" t="s">
        <v>59</v>
      </c>
      <c r="D39" s="7" cm="1">
        <f t="array" ref="D39">SUM(VALUE(SUBSTITUTE(_xlfn.TEXTAFTER(_xlfn.TEXTSPLIT(C39,CHAR(10)),"-",-1),"km","")))</f>
        <v>613</v>
      </c>
      <c r="E39" s="9">
        <f t="shared" si="0"/>
        <v>3.76146788990826</v>
      </c>
      <c r="F39" s="9">
        <f t="shared" si="4"/>
        <v>4.1</v>
      </c>
      <c r="G39" s="9">
        <f t="shared" si="1"/>
        <v>2305.77981651376</v>
      </c>
      <c r="H39" s="9">
        <f t="shared" si="2"/>
        <v>2513.3</v>
      </c>
      <c r="I39" s="9">
        <f t="shared" si="5"/>
        <v>3.2</v>
      </c>
      <c r="J39" s="9">
        <f t="shared" si="3"/>
        <v>1961.6</v>
      </c>
      <c r="K39" s="7" t="s">
        <v>19</v>
      </c>
      <c r="L39" s="7"/>
      <c r="M39" s="7"/>
    </row>
    <row r="40" s="6" customFormat="1" ht="85.5" spans="1:13">
      <c r="A40" s="7">
        <v>39</v>
      </c>
      <c r="B40" s="26">
        <v>45973</v>
      </c>
      <c r="C40" s="8" t="s">
        <v>60</v>
      </c>
      <c r="D40" s="7" cm="1">
        <f t="array" ref="D40">SUM(VALUE(SUBSTITUTE(_xlfn.TEXTAFTER(_xlfn.TEXTSPLIT(C40,CHAR(10)),"-",-1),"km","")))</f>
        <v>296.9</v>
      </c>
      <c r="E40" s="9">
        <f t="shared" si="0"/>
        <v>3.94495412844037</v>
      </c>
      <c r="F40" s="9">
        <f t="shared" si="4"/>
        <v>4.3</v>
      </c>
      <c r="G40" s="9">
        <f t="shared" si="1"/>
        <v>1171.25688073395</v>
      </c>
      <c r="H40" s="9">
        <f t="shared" si="2"/>
        <v>1276.67</v>
      </c>
      <c r="I40" s="9">
        <f t="shared" si="5"/>
        <v>3.5</v>
      </c>
      <c r="J40" s="9">
        <f t="shared" si="3"/>
        <v>1039.15</v>
      </c>
      <c r="K40" s="7" t="s">
        <v>28</v>
      </c>
      <c r="L40" s="7"/>
      <c r="M40" s="7"/>
    </row>
    <row r="41" s="6" customFormat="1" ht="71.25" spans="1:13">
      <c r="A41" s="7">
        <v>40</v>
      </c>
      <c r="B41" s="26">
        <v>45973</v>
      </c>
      <c r="C41" s="8" t="s">
        <v>61</v>
      </c>
      <c r="D41" s="7" cm="1">
        <f t="array" ref="D41">SUM(VALUE(SUBSTITUTE(_xlfn.TEXTAFTER(_xlfn.TEXTSPLIT(C41,CHAR(10)),"-",-1),"km","")))</f>
        <v>167.3</v>
      </c>
      <c r="E41" s="9">
        <f t="shared" si="0"/>
        <v>4.12844036697248</v>
      </c>
      <c r="F41" s="9">
        <f t="shared" si="4"/>
        <v>4.5</v>
      </c>
      <c r="G41" s="9">
        <f t="shared" si="1"/>
        <v>690.688073394496</v>
      </c>
      <c r="H41" s="9">
        <f t="shared" si="2"/>
        <v>752.85</v>
      </c>
      <c r="I41" s="9">
        <f t="shared" si="5"/>
        <v>3.5</v>
      </c>
      <c r="J41" s="9">
        <f t="shared" si="3"/>
        <v>585.55</v>
      </c>
      <c r="K41" s="7" t="s">
        <v>15</v>
      </c>
      <c r="L41" s="7"/>
      <c r="M41" s="7"/>
    </row>
    <row r="42" s="6" customFormat="1" ht="85.5" spans="1:13">
      <c r="A42" s="7">
        <v>41</v>
      </c>
      <c r="B42" s="26">
        <v>45973</v>
      </c>
      <c r="C42" s="8" t="s">
        <v>62</v>
      </c>
      <c r="D42" s="7" cm="1">
        <f t="array" ref="D42">SUM(VALUE(SUBSTITUTE(_xlfn.TEXTAFTER(_xlfn.TEXTSPLIT(C42,CHAR(10)),"-",-1),"km","")))</f>
        <v>230</v>
      </c>
      <c r="E42" s="9">
        <f t="shared" si="0"/>
        <v>3.94495412844037</v>
      </c>
      <c r="F42" s="9">
        <f t="shared" si="4"/>
        <v>4.3</v>
      </c>
      <c r="G42" s="9">
        <f t="shared" si="1"/>
        <v>907.339449541285</v>
      </c>
      <c r="H42" s="9">
        <f t="shared" si="2"/>
        <v>989</v>
      </c>
      <c r="I42" s="9">
        <f t="shared" si="5"/>
        <v>3.5</v>
      </c>
      <c r="J42" s="9">
        <f t="shared" si="3"/>
        <v>805</v>
      </c>
      <c r="K42" s="7" t="s">
        <v>17</v>
      </c>
      <c r="L42" s="7"/>
      <c r="M42" s="7"/>
    </row>
    <row r="43" s="6" customFormat="1" ht="71.25" spans="1:13">
      <c r="A43" s="7">
        <v>42</v>
      </c>
      <c r="B43" s="26">
        <v>45973</v>
      </c>
      <c r="C43" s="8" t="s">
        <v>63</v>
      </c>
      <c r="D43" s="7" cm="1">
        <f t="array" ref="D43">SUM(VALUE(SUBSTITUTE(_xlfn.TEXTAFTER(_xlfn.TEXTSPLIT(C43,CHAR(10)),"-",-1),"km","")))</f>
        <v>290.5</v>
      </c>
      <c r="E43" s="9">
        <f t="shared" ref="E40:E55" si="6">F43/1.09</f>
        <v>3.94495412844037</v>
      </c>
      <c r="F43" s="9">
        <f t="shared" si="4"/>
        <v>4.3</v>
      </c>
      <c r="G43" s="9">
        <f t="shared" ref="G40:G55" si="7">D43*E43</f>
        <v>1146.00917431193</v>
      </c>
      <c r="H43" s="9">
        <f t="shared" ref="H40:H55" si="8">D43*F43</f>
        <v>1249.15</v>
      </c>
      <c r="I43" s="9">
        <f t="shared" si="5"/>
        <v>3.5</v>
      </c>
      <c r="J43" s="9">
        <f t="shared" ref="J40:J55" si="9">D43*I43</f>
        <v>1016.75</v>
      </c>
      <c r="K43" s="7" t="s">
        <v>17</v>
      </c>
      <c r="L43" s="7"/>
      <c r="M43" s="7"/>
    </row>
    <row r="44" s="6" customFormat="1" ht="85.5" spans="1:13">
      <c r="A44" s="7">
        <v>43</v>
      </c>
      <c r="B44" s="26">
        <v>45974</v>
      </c>
      <c r="C44" s="8" t="s">
        <v>64</v>
      </c>
      <c r="D44" s="7" cm="1">
        <f t="array" ref="D44">SUM(VALUE(SUBSTITUTE(_xlfn.TEXTAFTER(_xlfn.TEXTSPLIT(C44,CHAR(10)),"-",-1),"km","")))</f>
        <v>486</v>
      </c>
      <c r="E44" s="9">
        <f t="shared" si="6"/>
        <v>3.76146788990826</v>
      </c>
      <c r="F44" s="9">
        <f t="shared" si="4"/>
        <v>4.1</v>
      </c>
      <c r="G44" s="9">
        <f t="shared" si="7"/>
        <v>1828.07339449541</v>
      </c>
      <c r="H44" s="9">
        <f t="shared" si="8"/>
        <v>1992.6</v>
      </c>
      <c r="I44" s="9">
        <f t="shared" si="5"/>
        <v>3.2</v>
      </c>
      <c r="J44" s="9">
        <f t="shared" si="9"/>
        <v>1555.2</v>
      </c>
      <c r="K44" s="7" t="s">
        <v>13</v>
      </c>
      <c r="L44" s="7"/>
      <c r="M44" s="7"/>
    </row>
    <row r="45" s="6" customFormat="1" ht="85.5" spans="1:13">
      <c r="A45" s="7">
        <v>44</v>
      </c>
      <c r="B45" s="26">
        <v>45974</v>
      </c>
      <c r="C45" s="8" t="s">
        <v>65</v>
      </c>
      <c r="D45" s="7" cm="1">
        <f t="array" ref="D45">SUM(VALUE(SUBSTITUTE(_xlfn.TEXTAFTER(_xlfn.TEXTSPLIT(C45,CHAR(10)),"-",-1),"km","")))</f>
        <v>467</v>
      </c>
      <c r="E45" s="9">
        <f t="shared" si="6"/>
        <v>3.76146788990826</v>
      </c>
      <c r="F45" s="9">
        <f t="shared" si="4"/>
        <v>4.1</v>
      </c>
      <c r="G45" s="9">
        <f t="shared" si="7"/>
        <v>1756.60550458716</v>
      </c>
      <c r="H45" s="9">
        <f t="shared" si="8"/>
        <v>1914.7</v>
      </c>
      <c r="I45" s="9">
        <f t="shared" si="5"/>
        <v>3.2</v>
      </c>
      <c r="J45" s="9">
        <f t="shared" si="9"/>
        <v>1494.4</v>
      </c>
      <c r="K45" s="7" t="s">
        <v>25</v>
      </c>
      <c r="L45" s="7"/>
      <c r="M45" s="7"/>
    </row>
    <row r="46" s="6" customFormat="1" ht="85.5" spans="1:13">
      <c r="A46" s="7">
        <v>45</v>
      </c>
      <c r="B46" s="26">
        <v>45974</v>
      </c>
      <c r="C46" s="8" t="s">
        <v>49</v>
      </c>
      <c r="D46" s="7" cm="1">
        <f t="array" ref="D46">SUM(VALUE(SUBSTITUTE(_xlfn.TEXTAFTER(_xlfn.TEXTSPLIT(C46,CHAR(10)),"-",-1),"km","")))</f>
        <v>483.5</v>
      </c>
      <c r="E46" s="9">
        <f t="shared" si="6"/>
        <v>3.76146788990826</v>
      </c>
      <c r="F46" s="9">
        <f t="shared" si="4"/>
        <v>4.1</v>
      </c>
      <c r="G46" s="9">
        <f t="shared" si="7"/>
        <v>1818.66972477064</v>
      </c>
      <c r="H46" s="9">
        <f t="shared" si="8"/>
        <v>1982.35</v>
      </c>
      <c r="I46" s="9">
        <f t="shared" si="5"/>
        <v>3.2</v>
      </c>
      <c r="J46" s="9">
        <f t="shared" si="9"/>
        <v>1547.2</v>
      </c>
      <c r="K46" s="7" t="s">
        <v>15</v>
      </c>
      <c r="L46" s="7"/>
      <c r="M46" s="7"/>
    </row>
    <row r="47" s="6" customFormat="1" ht="140" customHeight="1" spans="1:13">
      <c r="A47" s="7">
        <v>46</v>
      </c>
      <c r="B47" s="26">
        <v>45975</v>
      </c>
      <c r="C47" s="8" t="s">
        <v>66</v>
      </c>
      <c r="D47" s="7" cm="1">
        <f t="array" ref="D47">SUM(VALUE(SUBSTITUTE(_xlfn.TEXTAFTER(_xlfn.TEXTSPLIT(C47,CHAR(10)),"-",-1),"km","")))</f>
        <v>239.3</v>
      </c>
      <c r="E47" s="9">
        <f t="shared" si="6"/>
        <v>3.94495412844037</v>
      </c>
      <c r="F47" s="9">
        <f t="shared" ref="F47:F55" si="10">IF(D47&gt;=301,4.1,IF(D47&gt;=201,4.3,IF(D47&gt;=101,4.5,"")))</f>
        <v>4.3</v>
      </c>
      <c r="G47" s="9">
        <f t="shared" si="7"/>
        <v>944.02752293578</v>
      </c>
      <c r="H47" s="9">
        <f t="shared" si="8"/>
        <v>1028.99</v>
      </c>
      <c r="I47" s="9">
        <f t="shared" ref="I47:I55" si="11">IF(D47&gt;=301,3.2,IF(D47&gt;=201,3.5,IF(D47&gt;=101,3.5,"")))</f>
        <v>3.5</v>
      </c>
      <c r="J47" s="9">
        <f t="shared" si="9"/>
        <v>837.55</v>
      </c>
      <c r="K47" s="7" t="s">
        <v>13</v>
      </c>
      <c r="L47" s="7"/>
      <c r="M47" s="7"/>
    </row>
    <row r="48" s="6" customFormat="1" ht="99.75" spans="1:13">
      <c r="A48" s="7">
        <v>47</v>
      </c>
      <c r="B48" s="26">
        <v>45975</v>
      </c>
      <c r="C48" s="8" t="s">
        <v>67</v>
      </c>
      <c r="D48" s="7" cm="1">
        <f t="array" ref="D48">SUM(VALUE(SUBSTITUTE(_xlfn.TEXTAFTER(_xlfn.TEXTSPLIT(C48,CHAR(10)),"-",-1),"km","")))</f>
        <v>326.6</v>
      </c>
      <c r="E48" s="9">
        <f t="shared" si="6"/>
        <v>3.76146788990826</v>
      </c>
      <c r="F48" s="9">
        <f t="shared" si="10"/>
        <v>4.1</v>
      </c>
      <c r="G48" s="9">
        <f t="shared" si="7"/>
        <v>1228.49541284404</v>
      </c>
      <c r="H48" s="9">
        <f t="shared" si="8"/>
        <v>1339.06</v>
      </c>
      <c r="I48" s="9">
        <f t="shared" si="11"/>
        <v>3.2</v>
      </c>
      <c r="J48" s="9">
        <f t="shared" si="9"/>
        <v>1045.12</v>
      </c>
      <c r="K48" s="7" t="s">
        <v>17</v>
      </c>
      <c r="L48" s="7"/>
      <c r="M48" s="7"/>
    </row>
    <row r="49" s="6" customFormat="1" ht="114" spans="1:16">
      <c r="A49" s="7">
        <v>48</v>
      </c>
      <c r="B49" s="26">
        <v>45976</v>
      </c>
      <c r="C49" s="8" t="s">
        <v>68</v>
      </c>
      <c r="D49" s="7" cm="1">
        <f t="array" ref="D49">SUM(VALUE(SUBSTITUTE(_xlfn.TEXTAFTER(_xlfn.TEXTSPLIT(C49,CHAR(10)),"-",-1),"km","")))</f>
        <v>612</v>
      </c>
      <c r="E49" s="9">
        <f t="shared" si="6"/>
        <v>3.76146788990826</v>
      </c>
      <c r="F49" s="9">
        <f t="shared" si="10"/>
        <v>4.1</v>
      </c>
      <c r="G49" s="9">
        <f t="shared" si="7"/>
        <v>2302.01834862385</v>
      </c>
      <c r="H49" s="9">
        <f t="shared" si="8"/>
        <v>2509.2</v>
      </c>
      <c r="I49" s="9">
        <f t="shared" si="11"/>
        <v>3.2</v>
      </c>
      <c r="J49" s="9">
        <f t="shared" si="9"/>
        <v>1958.4</v>
      </c>
      <c r="K49" s="7" t="s">
        <v>25</v>
      </c>
      <c r="L49" s="7"/>
      <c r="M49" s="7"/>
    </row>
    <row r="50" s="6" customFormat="1" ht="99.75" spans="1:16">
      <c r="A50" s="7">
        <v>49</v>
      </c>
      <c r="B50" s="26">
        <v>45976</v>
      </c>
      <c r="C50" s="8" t="s">
        <v>69</v>
      </c>
      <c r="D50" s="7" cm="1">
        <f t="array" ref="D50">SUM(VALUE(SUBSTITUTE(_xlfn.TEXTAFTER(_xlfn.TEXTSPLIT(C50,CHAR(10)),"-",-1),"km","")))</f>
        <v>379</v>
      </c>
      <c r="E50" s="9">
        <f t="shared" si="6"/>
        <v>3.76146788990826</v>
      </c>
      <c r="F50" s="9">
        <f t="shared" si="10"/>
        <v>4.1</v>
      </c>
      <c r="G50" s="9">
        <f t="shared" si="7"/>
        <v>1425.59633027523</v>
      </c>
      <c r="H50" s="9">
        <f t="shared" si="8"/>
        <v>1553.9</v>
      </c>
      <c r="I50" s="9">
        <f t="shared" si="11"/>
        <v>3.2</v>
      </c>
      <c r="J50" s="9">
        <f t="shared" si="9"/>
        <v>1212.8</v>
      </c>
      <c r="K50" s="7" t="s">
        <v>13</v>
      </c>
      <c r="L50" s="7"/>
      <c r="M50" s="7"/>
    </row>
    <row r="51" s="19" customFormat="1" ht="57" spans="1:16">
      <c r="A51" s="7">
        <v>50</v>
      </c>
      <c r="B51" s="26">
        <v>45976</v>
      </c>
      <c r="C51" s="8" t="s">
        <v>70</v>
      </c>
      <c r="D51" s="7" cm="1">
        <f t="array" ref="D51">SUM(VALUE(SUBSTITUTE(_xlfn.TEXTAFTER(_xlfn.TEXTSPLIT(C51,CHAR(10)),"-",-1),"km","")))</f>
        <v>329</v>
      </c>
      <c r="E51" s="9">
        <f t="shared" si="6"/>
        <v>3.76146788990826</v>
      </c>
      <c r="F51" s="9">
        <f t="shared" si="10"/>
        <v>4.1</v>
      </c>
      <c r="G51" s="9">
        <f t="shared" si="7"/>
        <v>1237.52293577982</v>
      </c>
      <c r="H51" s="9">
        <f t="shared" si="8"/>
        <v>1348.9</v>
      </c>
      <c r="I51" s="9">
        <f t="shared" si="11"/>
        <v>3.2</v>
      </c>
      <c r="J51" s="9">
        <f t="shared" si="9"/>
        <v>1052.8</v>
      </c>
      <c r="K51" s="7" t="s">
        <v>28</v>
      </c>
      <c r="L51" s="7"/>
      <c r="M51" s="7"/>
      <c r="N51" s="19"/>
      <c r="O51" s="6"/>
      <c r="P51" s="6"/>
    </row>
    <row r="52" s="6" customFormat="1" ht="119" customHeight="1" spans="1:16">
      <c r="A52" s="7">
        <v>51</v>
      </c>
      <c r="B52" s="26">
        <v>45977</v>
      </c>
      <c r="C52" s="8" t="s">
        <v>71</v>
      </c>
      <c r="D52" s="7" cm="1">
        <f t="array" ref="D52">SUM(VALUE(SUBSTITUTE(_xlfn.TEXTAFTER(_xlfn.TEXTSPLIT(C52,CHAR(10)),"-",-1),"km","")))</f>
        <v>249</v>
      </c>
      <c r="E52" s="9">
        <f t="shared" si="6"/>
        <v>3.94495412844037</v>
      </c>
      <c r="F52" s="9">
        <f t="shared" si="10"/>
        <v>4.3</v>
      </c>
      <c r="G52" s="9">
        <f t="shared" si="7"/>
        <v>982.293577981651</v>
      </c>
      <c r="H52" s="9">
        <f t="shared" si="8"/>
        <v>1070.7</v>
      </c>
      <c r="I52" s="9">
        <f t="shared" si="11"/>
        <v>3.5</v>
      </c>
      <c r="J52" s="9">
        <f t="shared" si="9"/>
        <v>871.5</v>
      </c>
      <c r="K52" s="7" t="s">
        <v>17</v>
      </c>
      <c r="L52" s="7"/>
      <c r="M52" s="7"/>
    </row>
    <row r="53" s="6" customFormat="1" ht="85.5" spans="1:16">
      <c r="A53" s="7">
        <v>52</v>
      </c>
      <c r="B53" s="26">
        <v>45978</v>
      </c>
      <c r="C53" s="8" t="s">
        <v>72</v>
      </c>
      <c r="D53" s="7" cm="1">
        <f t="array" ref="D53">SUM(VALUE(SUBSTITUTE(_xlfn.TEXTAFTER(_xlfn.TEXTSPLIT(C53,CHAR(10)),"-",-1),"km","")))</f>
        <v>266.5</v>
      </c>
      <c r="E53" s="9">
        <f t="shared" si="6"/>
        <v>3.94495412844037</v>
      </c>
      <c r="F53" s="9">
        <f t="shared" si="10"/>
        <v>4.3</v>
      </c>
      <c r="G53" s="9">
        <f t="shared" si="7"/>
        <v>1051.33027522936</v>
      </c>
      <c r="H53" s="9">
        <f t="shared" si="8"/>
        <v>1145.95</v>
      </c>
      <c r="I53" s="9">
        <f t="shared" si="11"/>
        <v>3.5</v>
      </c>
      <c r="J53" s="9">
        <f t="shared" si="9"/>
        <v>932.75</v>
      </c>
      <c r="K53" s="7" t="s">
        <v>17</v>
      </c>
      <c r="L53" s="7"/>
      <c r="M53" s="7"/>
    </row>
    <row r="54" s="6" customFormat="1" ht="71.25" spans="1:16">
      <c r="A54" s="7">
        <v>53</v>
      </c>
      <c r="B54" s="26">
        <v>45978</v>
      </c>
      <c r="C54" s="8" t="s">
        <v>73</v>
      </c>
      <c r="D54" s="7" cm="1">
        <f t="array" ref="D54">SUM(VALUE(SUBSTITUTE(_xlfn.TEXTAFTER(_xlfn.TEXTSPLIT(C54,CHAR(10)),"-",-1),"km","")))</f>
        <v>251.3</v>
      </c>
      <c r="E54" s="9">
        <f t="shared" si="6"/>
        <v>3.94495412844037</v>
      </c>
      <c r="F54" s="9">
        <f t="shared" si="10"/>
        <v>4.3</v>
      </c>
      <c r="G54" s="9">
        <f t="shared" si="7"/>
        <v>991.366972477064</v>
      </c>
      <c r="H54" s="9">
        <f t="shared" si="8"/>
        <v>1080.59</v>
      </c>
      <c r="I54" s="9">
        <f t="shared" si="11"/>
        <v>3.5</v>
      </c>
      <c r="J54" s="9">
        <f t="shared" si="9"/>
        <v>879.55</v>
      </c>
      <c r="K54" s="7" t="s">
        <v>15</v>
      </c>
      <c r="L54" s="7"/>
      <c r="M54" s="7"/>
    </row>
    <row r="55" s="6" customFormat="1" ht="57" spans="1:16">
      <c r="A55" s="7">
        <v>54</v>
      </c>
      <c r="B55" s="26">
        <v>45978</v>
      </c>
      <c r="C55" s="8" t="s">
        <v>74</v>
      </c>
      <c r="D55" s="7" cm="1">
        <f t="array" ref="D55">SUM(VALUE(SUBSTITUTE(_xlfn.TEXTAFTER(_xlfn.TEXTSPLIT(C55,CHAR(10)),"-",-1),"km","")))</f>
        <v>153.7</v>
      </c>
      <c r="E55" s="9">
        <f t="shared" si="6"/>
        <v>4.12844036697248</v>
      </c>
      <c r="F55" s="9">
        <f t="shared" si="10"/>
        <v>4.5</v>
      </c>
      <c r="G55" s="9">
        <f t="shared" si="7"/>
        <v>634.54128440367</v>
      </c>
      <c r="H55" s="9">
        <f t="shared" si="8"/>
        <v>691.65</v>
      </c>
      <c r="I55" s="9">
        <f t="shared" si="11"/>
        <v>3.5</v>
      </c>
      <c r="J55" s="9">
        <f t="shared" si="9"/>
        <v>537.95</v>
      </c>
      <c r="K55" s="7" t="s">
        <v>19</v>
      </c>
      <c r="L55" s="7"/>
      <c r="M55" s="7"/>
    </row>
    <row r="56" s="6" customFormat="1" ht="99.75" spans="1:16">
      <c r="A56" s="7">
        <v>55</v>
      </c>
      <c r="B56" s="26">
        <v>45979</v>
      </c>
      <c r="C56" s="8" t="s">
        <v>75</v>
      </c>
      <c r="D56" s="7" cm="1">
        <f t="array" ref="D56">SUM(VALUE(SUBSTITUTE(_xlfn.TEXTAFTER(_xlfn.TEXTSPLIT(C56,CHAR(10)),"-",-1),"km","")))</f>
        <v>450</v>
      </c>
      <c r="E56" s="9">
        <f t="shared" ref="E56:E76" si="12">F56/1.09</f>
        <v>3.76146788990826</v>
      </c>
      <c r="F56" s="9">
        <f t="shared" ref="F56:F76" si="13">IF(D56&gt;=301,4.1,IF(D56&gt;=201,4.3,IF(D56&gt;=101,4.5,"")))</f>
        <v>4.1</v>
      </c>
      <c r="G56" s="9">
        <f t="shared" ref="G56:G76" si="14">D56*E56</f>
        <v>1692.66055045872</v>
      </c>
      <c r="H56" s="9">
        <f t="shared" ref="H56:H76" si="15">D56*F56</f>
        <v>1845</v>
      </c>
      <c r="I56" s="9">
        <f t="shared" ref="I56:I76" si="16">IF(D56&gt;=301,3.2,IF(D56&gt;=201,3.5,IF(D56&gt;=101,3.5,"")))</f>
        <v>3.2</v>
      </c>
      <c r="J56" s="9">
        <f t="shared" ref="J56:J76" si="17">D56*I56</f>
        <v>1440</v>
      </c>
      <c r="K56" s="7" t="s">
        <v>19</v>
      </c>
      <c r="L56" s="7"/>
      <c r="M56" s="7"/>
    </row>
    <row r="57" s="6" customFormat="1" ht="85.5" spans="1:16">
      <c r="A57" s="7">
        <v>56</v>
      </c>
      <c r="B57" s="26">
        <v>45979</v>
      </c>
      <c r="C57" s="8" t="s">
        <v>76</v>
      </c>
      <c r="D57" s="7" cm="1">
        <f t="array" ref="D57">SUM(VALUE(SUBSTITUTE(_xlfn.TEXTAFTER(_xlfn.TEXTSPLIT(C57,CHAR(10)),"-",-1),"km","")))</f>
        <v>683</v>
      </c>
      <c r="E57" s="9">
        <f t="shared" si="12"/>
        <v>3.76146788990826</v>
      </c>
      <c r="F57" s="9">
        <f t="shared" si="13"/>
        <v>4.1</v>
      </c>
      <c r="G57" s="9">
        <f t="shared" si="14"/>
        <v>2569.08256880734</v>
      </c>
      <c r="H57" s="9">
        <f t="shared" si="15"/>
        <v>2800.3</v>
      </c>
      <c r="I57" s="9">
        <f t="shared" si="16"/>
        <v>3.2</v>
      </c>
      <c r="J57" s="9">
        <f t="shared" si="17"/>
        <v>2185.6</v>
      </c>
      <c r="K57" s="7" t="s">
        <v>36</v>
      </c>
      <c r="L57" s="7"/>
      <c r="M57" s="7"/>
    </row>
    <row r="58" s="6" customFormat="1" ht="28.5" spans="1:16">
      <c r="A58" s="7">
        <v>57</v>
      </c>
      <c r="B58" s="26">
        <v>45979</v>
      </c>
      <c r="C58" s="8" t="s">
        <v>77</v>
      </c>
      <c r="D58" s="7" cm="1">
        <f t="array" ref="D58">SUM(VALUE(SUBSTITUTE(_xlfn.TEXTAFTER(_xlfn.TEXTSPLIT(C58,CHAR(10)),"-",-1),"km","")))</f>
        <v>387.4</v>
      </c>
      <c r="E58" s="9">
        <f t="shared" si="12"/>
        <v>3.76146788990826</v>
      </c>
      <c r="F58" s="9">
        <f t="shared" si="13"/>
        <v>4.1</v>
      </c>
      <c r="G58" s="9">
        <f t="shared" si="14"/>
        <v>1457.19266055046</v>
      </c>
      <c r="H58" s="9">
        <f t="shared" si="15"/>
        <v>1588.34</v>
      </c>
      <c r="I58" s="9">
        <f t="shared" si="16"/>
        <v>3.2</v>
      </c>
      <c r="J58" s="9">
        <f t="shared" si="17"/>
        <v>1239.68</v>
      </c>
      <c r="K58" s="7" t="s">
        <v>17</v>
      </c>
      <c r="L58" s="7"/>
      <c r="M58" s="7"/>
    </row>
    <row r="59" s="6" customFormat="1" ht="57" spans="1:16">
      <c r="A59" s="7">
        <v>58</v>
      </c>
      <c r="B59" s="26">
        <v>45979</v>
      </c>
      <c r="C59" s="8" t="s">
        <v>78</v>
      </c>
      <c r="D59" s="7" cm="1">
        <f t="array" ref="D59">SUM(VALUE(SUBSTITUTE(_xlfn.TEXTAFTER(_xlfn.TEXTSPLIT(C59,CHAR(10)),"-",-1),"km","")))</f>
        <v>252.8</v>
      </c>
      <c r="E59" s="9">
        <f t="shared" si="12"/>
        <v>3.94495412844037</v>
      </c>
      <c r="F59" s="9">
        <f t="shared" si="13"/>
        <v>4.3</v>
      </c>
      <c r="G59" s="9">
        <f t="shared" si="14"/>
        <v>997.284403669725</v>
      </c>
      <c r="H59" s="9">
        <f t="shared" si="15"/>
        <v>1087.04</v>
      </c>
      <c r="I59" s="9">
        <f t="shared" si="16"/>
        <v>3.5</v>
      </c>
      <c r="J59" s="9">
        <f t="shared" si="17"/>
        <v>884.8</v>
      </c>
      <c r="K59" s="7" t="s">
        <v>25</v>
      </c>
      <c r="L59" s="7"/>
      <c r="M59" s="7"/>
    </row>
    <row r="60" s="20" customFormat="1" ht="71.25" spans="1:16">
      <c r="A60" s="7">
        <v>59</v>
      </c>
      <c r="B60" s="26">
        <v>45980</v>
      </c>
      <c r="C60" s="27" t="s">
        <v>79</v>
      </c>
      <c r="D60" s="7" cm="1">
        <f t="array" ref="D60">SUM(VALUE(SUBSTITUTE(_xlfn.TEXTAFTER(_xlfn.TEXTSPLIT(C60,CHAR(10)),"-",-1),"km","")))</f>
        <v>203.7</v>
      </c>
      <c r="E60" s="9">
        <f t="shared" si="12"/>
        <v>3.94495412844037</v>
      </c>
      <c r="F60" s="9">
        <f t="shared" si="13"/>
        <v>4.3</v>
      </c>
      <c r="G60" s="9">
        <f t="shared" si="14"/>
        <v>803.587155963303</v>
      </c>
      <c r="H60" s="9">
        <f t="shared" si="15"/>
        <v>875.91</v>
      </c>
      <c r="I60" s="9">
        <f t="shared" si="16"/>
        <v>3.5</v>
      </c>
      <c r="J60" s="9">
        <f t="shared" si="17"/>
        <v>712.95</v>
      </c>
      <c r="K60" s="28" t="s">
        <v>15</v>
      </c>
      <c r="L60" s="28"/>
      <c r="M60" s="28"/>
      <c r="N60" s="20"/>
      <c r="O60" s="6"/>
      <c r="P60" s="6"/>
    </row>
    <row r="61" s="6" customFormat="1" ht="114" spans="1:16">
      <c r="A61" s="7">
        <v>60</v>
      </c>
      <c r="B61" s="26">
        <v>45980</v>
      </c>
      <c r="C61" s="8" t="s">
        <v>80</v>
      </c>
      <c r="D61" s="7" cm="1">
        <f t="array" ref="D61">SUM(VALUE(SUBSTITUTE(_xlfn.TEXTAFTER(_xlfn.TEXTSPLIT(C61,CHAR(10)),"-",-1),"km","")))</f>
        <v>193.5</v>
      </c>
      <c r="E61" s="9">
        <f t="shared" si="12"/>
        <v>4.12844036697248</v>
      </c>
      <c r="F61" s="9">
        <f t="shared" si="13"/>
        <v>4.5</v>
      </c>
      <c r="G61" s="9">
        <f t="shared" si="14"/>
        <v>798.853211009174</v>
      </c>
      <c r="H61" s="9">
        <f t="shared" si="15"/>
        <v>870.75</v>
      </c>
      <c r="I61" s="9">
        <f t="shared" si="16"/>
        <v>3.5</v>
      </c>
      <c r="J61" s="9">
        <f t="shared" si="17"/>
        <v>677.25</v>
      </c>
      <c r="K61" s="7" t="s">
        <v>13</v>
      </c>
      <c r="L61" s="7"/>
      <c r="M61" s="7"/>
    </row>
    <row r="62" s="6" customFormat="1" ht="85.5" spans="1:16">
      <c r="A62" s="7">
        <v>61</v>
      </c>
      <c r="B62" s="26">
        <v>45980</v>
      </c>
      <c r="C62" s="8" t="s">
        <v>81</v>
      </c>
      <c r="D62" s="7" cm="1">
        <f t="array" ref="D62">SUM(VALUE(SUBSTITUTE(_xlfn.TEXTAFTER(_xlfn.TEXTSPLIT(C62,CHAR(10)),"-",-1),"km","")))</f>
        <v>183.7</v>
      </c>
      <c r="E62" s="9">
        <f t="shared" si="12"/>
        <v>4.12844036697248</v>
      </c>
      <c r="F62" s="9">
        <f t="shared" si="13"/>
        <v>4.5</v>
      </c>
      <c r="G62" s="9">
        <f t="shared" si="14"/>
        <v>758.394495412844</v>
      </c>
      <c r="H62" s="9">
        <f t="shared" si="15"/>
        <v>826.65</v>
      </c>
      <c r="I62" s="9">
        <f t="shared" si="16"/>
        <v>3.5</v>
      </c>
      <c r="J62" s="9">
        <f t="shared" si="17"/>
        <v>642.95</v>
      </c>
      <c r="K62" s="7" t="s">
        <v>41</v>
      </c>
      <c r="L62" s="7"/>
      <c r="M62" s="7"/>
    </row>
    <row r="63" s="6" customFormat="1" ht="85.5" spans="1:16">
      <c r="A63" s="7">
        <v>62</v>
      </c>
      <c r="B63" s="26">
        <v>45980</v>
      </c>
      <c r="C63" s="8" t="s">
        <v>82</v>
      </c>
      <c r="D63" s="7" cm="1">
        <f t="array" ref="D63">SUM(VALUE(SUBSTITUTE(_xlfn.TEXTAFTER(_xlfn.TEXTSPLIT(C63,CHAR(10)),"-",-1),"km","")))</f>
        <v>276.5</v>
      </c>
      <c r="E63" s="9">
        <f t="shared" si="12"/>
        <v>3.94495412844037</v>
      </c>
      <c r="F63" s="9">
        <f t="shared" si="13"/>
        <v>4.3</v>
      </c>
      <c r="G63" s="9">
        <f t="shared" si="14"/>
        <v>1090.77981651376</v>
      </c>
      <c r="H63" s="9">
        <f t="shared" si="15"/>
        <v>1188.95</v>
      </c>
      <c r="I63" s="9">
        <f t="shared" si="16"/>
        <v>3.5</v>
      </c>
      <c r="J63" s="9">
        <f t="shared" si="17"/>
        <v>967.75</v>
      </c>
      <c r="K63" s="7" t="s">
        <v>25</v>
      </c>
      <c r="L63" s="7"/>
      <c r="M63" s="7"/>
    </row>
    <row r="64" s="6" customFormat="1" ht="99.75" spans="1:16">
      <c r="A64" s="7">
        <v>63</v>
      </c>
      <c r="B64" s="26">
        <v>45980</v>
      </c>
      <c r="C64" s="8" t="s">
        <v>83</v>
      </c>
      <c r="D64" s="7" cm="1">
        <f t="array" ref="D64">SUM(VALUE(SUBSTITUTE(_xlfn.TEXTAFTER(_xlfn.TEXTSPLIT(C64,CHAR(10)),"-",-1),"km","")))</f>
        <v>206.4</v>
      </c>
      <c r="E64" s="9">
        <f t="shared" si="12"/>
        <v>3.94495412844037</v>
      </c>
      <c r="F64" s="9">
        <f t="shared" si="13"/>
        <v>4.3</v>
      </c>
      <c r="G64" s="9">
        <f t="shared" si="14"/>
        <v>814.238532110092</v>
      </c>
      <c r="H64" s="9">
        <f t="shared" si="15"/>
        <v>887.52</v>
      </c>
      <c r="I64" s="9">
        <f t="shared" si="16"/>
        <v>3.5</v>
      </c>
      <c r="J64" s="9">
        <f t="shared" si="17"/>
        <v>722.4</v>
      </c>
      <c r="K64" s="7" t="s">
        <v>41</v>
      </c>
      <c r="L64" s="7"/>
      <c r="M64" s="7"/>
    </row>
    <row r="65" s="6" customFormat="1" ht="99.75" spans="1:13">
      <c r="A65" s="7">
        <v>64</v>
      </c>
      <c r="B65" s="26">
        <v>45981</v>
      </c>
      <c r="C65" s="8" t="s">
        <v>84</v>
      </c>
      <c r="D65" s="7" cm="1">
        <f t="array" ref="D65">SUM(VALUE(SUBSTITUTE(_xlfn.TEXTAFTER(_xlfn.TEXTSPLIT(C65,CHAR(10)),"-",-1),"km","")))</f>
        <v>483.8</v>
      </c>
      <c r="E65" s="9">
        <f t="shared" si="12"/>
        <v>3.76146788990826</v>
      </c>
      <c r="F65" s="9">
        <f t="shared" si="13"/>
        <v>4.1</v>
      </c>
      <c r="G65" s="9">
        <f t="shared" si="14"/>
        <v>1819.79816513761</v>
      </c>
      <c r="H65" s="9">
        <f t="shared" si="15"/>
        <v>1983.58</v>
      </c>
      <c r="I65" s="9">
        <f t="shared" si="16"/>
        <v>3.2</v>
      </c>
      <c r="J65" s="9">
        <f t="shared" si="17"/>
        <v>1548.16</v>
      </c>
      <c r="K65" s="7" t="s">
        <v>15</v>
      </c>
      <c r="L65" s="7"/>
      <c r="M65" s="7"/>
    </row>
    <row r="66" s="6" customFormat="1" ht="85.5" spans="1:13">
      <c r="A66" s="7">
        <v>65</v>
      </c>
      <c r="B66" s="26">
        <v>45981</v>
      </c>
      <c r="C66" s="8" t="s">
        <v>85</v>
      </c>
      <c r="D66" s="7" cm="1">
        <f t="array" ref="D66">SUM(VALUE(SUBSTITUTE(_xlfn.TEXTAFTER(_xlfn.TEXTSPLIT(C66,CHAR(10)),"-",-1),"km","")))</f>
        <v>389</v>
      </c>
      <c r="E66" s="9">
        <f t="shared" si="12"/>
        <v>3.76146788990826</v>
      </c>
      <c r="F66" s="9">
        <f t="shared" si="13"/>
        <v>4.1</v>
      </c>
      <c r="G66" s="9">
        <f t="shared" si="14"/>
        <v>1463.21100917431</v>
      </c>
      <c r="H66" s="9">
        <f t="shared" si="15"/>
        <v>1594.9</v>
      </c>
      <c r="I66" s="9">
        <f t="shared" si="16"/>
        <v>3.2</v>
      </c>
      <c r="J66" s="9">
        <f t="shared" si="17"/>
        <v>1244.8</v>
      </c>
      <c r="K66" s="7" t="s">
        <v>19</v>
      </c>
      <c r="L66" s="7"/>
      <c r="M66" s="7"/>
    </row>
    <row r="67" s="6" customFormat="1" ht="114" spans="1:13">
      <c r="A67" s="7">
        <v>66</v>
      </c>
      <c r="B67" s="26">
        <v>45981</v>
      </c>
      <c r="C67" s="8" t="s">
        <v>86</v>
      </c>
      <c r="D67" s="7" cm="1">
        <f t="array" ref="D67">SUM(VALUE(SUBSTITUTE(_xlfn.TEXTAFTER(_xlfn.TEXTSPLIT(C67,CHAR(10)),"-",-1),"km","")))</f>
        <v>453</v>
      </c>
      <c r="E67" s="9">
        <f t="shared" si="12"/>
        <v>3.76146788990826</v>
      </c>
      <c r="F67" s="9">
        <f t="shared" si="13"/>
        <v>4.1</v>
      </c>
      <c r="G67" s="9">
        <f t="shared" si="14"/>
        <v>1703.94495412844</v>
      </c>
      <c r="H67" s="9">
        <f t="shared" si="15"/>
        <v>1857.3</v>
      </c>
      <c r="I67" s="9">
        <f t="shared" si="16"/>
        <v>3.2</v>
      </c>
      <c r="J67" s="9">
        <f t="shared" si="17"/>
        <v>1449.6</v>
      </c>
      <c r="K67" s="7" t="s">
        <v>25</v>
      </c>
      <c r="L67" s="7"/>
      <c r="M67" s="7"/>
    </row>
    <row r="68" s="6" customFormat="1" ht="99.75" spans="1:13">
      <c r="A68" s="7">
        <v>67</v>
      </c>
      <c r="B68" s="26">
        <v>45982</v>
      </c>
      <c r="C68" s="8" t="s">
        <v>87</v>
      </c>
      <c r="D68" s="7" cm="1">
        <f t="array" ref="D68">SUM(VALUE(SUBSTITUTE(_xlfn.TEXTAFTER(_xlfn.TEXTSPLIT(C68,CHAR(10)),"-",-1),"km","")))</f>
        <v>352.9</v>
      </c>
      <c r="E68" s="9">
        <f t="shared" si="12"/>
        <v>3.76146788990826</v>
      </c>
      <c r="F68" s="9">
        <f t="shared" si="13"/>
        <v>4.1</v>
      </c>
      <c r="G68" s="9">
        <f t="shared" si="14"/>
        <v>1327.42201834862</v>
      </c>
      <c r="H68" s="9">
        <f t="shared" si="15"/>
        <v>1446.89</v>
      </c>
      <c r="I68" s="9">
        <f t="shared" si="16"/>
        <v>3.2</v>
      </c>
      <c r="J68" s="9">
        <f t="shared" si="17"/>
        <v>1129.28</v>
      </c>
      <c r="K68" s="7" t="s">
        <v>13</v>
      </c>
      <c r="L68" s="7"/>
      <c r="M68" s="7"/>
    </row>
    <row r="69" s="6" customFormat="1" ht="114" spans="1:13">
      <c r="A69" s="7">
        <v>68</v>
      </c>
      <c r="B69" s="26">
        <v>45982</v>
      </c>
      <c r="C69" s="8" t="s">
        <v>88</v>
      </c>
      <c r="D69" s="7" cm="1">
        <f t="array" ref="D69">SUM(VALUE(SUBSTITUTE(_xlfn.TEXTAFTER(_xlfn.TEXTSPLIT(C69,CHAR(10)),"-",-1),"km","")))</f>
        <v>398.6</v>
      </c>
      <c r="E69" s="9">
        <f t="shared" si="12"/>
        <v>3.76146788990826</v>
      </c>
      <c r="F69" s="9">
        <f t="shared" si="13"/>
        <v>4.1</v>
      </c>
      <c r="G69" s="9">
        <f t="shared" si="14"/>
        <v>1499.32110091743</v>
      </c>
      <c r="H69" s="9">
        <f t="shared" si="15"/>
        <v>1634.26</v>
      </c>
      <c r="I69" s="9">
        <f t="shared" si="16"/>
        <v>3.2</v>
      </c>
      <c r="J69" s="9">
        <f t="shared" si="17"/>
        <v>1275.52</v>
      </c>
      <c r="K69" s="7" t="s">
        <v>17</v>
      </c>
      <c r="L69" s="7"/>
      <c r="M69" s="7"/>
    </row>
    <row r="70" s="6" customFormat="1" ht="114" spans="1:13">
      <c r="A70" s="7">
        <v>69</v>
      </c>
      <c r="B70" s="26">
        <v>45982</v>
      </c>
      <c r="C70" s="8" t="s">
        <v>89</v>
      </c>
      <c r="D70" s="7" cm="1">
        <f t="array" ref="D70">SUM(VALUE(SUBSTITUTE(_xlfn.TEXTAFTER(_xlfn.TEXTSPLIT(C70,CHAR(10)),"-",-1),"km","")))</f>
        <v>211</v>
      </c>
      <c r="E70" s="9">
        <f t="shared" si="12"/>
        <v>3.94495412844037</v>
      </c>
      <c r="F70" s="9">
        <f t="shared" si="13"/>
        <v>4.3</v>
      </c>
      <c r="G70" s="9">
        <f t="shared" si="14"/>
        <v>832.385321100917</v>
      </c>
      <c r="H70" s="9">
        <f t="shared" si="15"/>
        <v>907.3</v>
      </c>
      <c r="I70" s="9">
        <f t="shared" si="16"/>
        <v>3.5</v>
      </c>
      <c r="J70" s="9">
        <f t="shared" si="17"/>
        <v>738.5</v>
      </c>
      <c r="K70" s="7" t="s">
        <v>36</v>
      </c>
      <c r="L70" s="7"/>
      <c r="M70" s="7"/>
    </row>
    <row r="71" s="6" customFormat="1" ht="114" spans="1:13">
      <c r="A71" s="7">
        <v>70</v>
      </c>
      <c r="B71" s="26">
        <v>45983</v>
      </c>
      <c r="C71" s="8" t="s">
        <v>90</v>
      </c>
      <c r="D71" s="7" cm="1">
        <f t="array" ref="D71">SUM(VALUE(SUBSTITUTE(_xlfn.TEXTAFTER(_xlfn.TEXTSPLIT(C71,CHAR(10)),"-",-1),"km","")))</f>
        <v>514</v>
      </c>
      <c r="E71" s="9">
        <f t="shared" si="12"/>
        <v>3.76146788990826</v>
      </c>
      <c r="F71" s="9">
        <f t="shared" si="13"/>
        <v>4.1</v>
      </c>
      <c r="G71" s="9">
        <f t="shared" si="14"/>
        <v>1933.39449541284</v>
      </c>
      <c r="H71" s="9">
        <f t="shared" si="15"/>
        <v>2107.4</v>
      </c>
      <c r="I71" s="9">
        <f t="shared" si="16"/>
        <v>3.2</v>
      </c>
      <c r="J71" s="9">
        <f t="shared" si="17"/>
        <v>1644.8</v>
      </c>
      <c r="K71" s="7" t="s">
        <v>13</v>
      </c>
      <c r="L71" s="7"/>
      <c r="M71" s="7"/>
    </row>
    <row r="72" s="6" customFormat="1" ht="99.75" spans="1:13">
      <c r="A72" s="7">
        <v>71</v>
      </c>
      <c r="B72" s="26">
        <v>45983</v>
      </c>
      <c r="C72" s="8" t="s">
        <v>91</v>
      </c>
      <c r="D72" s="7" cm="1">
        <f t="array" ref="D72">SUM(VALUE(SUBSTITUTE(_xlfn.TEXTAFTER(_xlfn.TEXTSPLIT(C72,CHAR(10)),"-",-1),"km","")))</f>
        <v>655</v>
      </c>
      <c r="E72" s="9">
        <f t="shared" si="12"/>
        <v>3.76146788990826</v>
      </c>
      <c r="F72" s="9">
        <f t="shared" si="13"/>
        <v>4.1</v>
      </c>
      <c r="G72" s="9">
        <f t="shared" si="14"/>
        <v>2463.76146788991</v>
      </c>
      <c r="H72" s="9">
        <f t="shared" si="15"/>
        <v>2685.5</v>
      </c>
      <c r="I72" s="9">
        <f t="shared" si="16"/>
        <v>3.2</v>
      </c>
      <c r="J72" s="9">
        <f t="shared" si="17"/>
        <v>2096</v>
      </c>
      <c r="K72" s="7" t="s">
        <v>25</v>
      </c>
      <c r="L72" s="7"/>
      <c r="M72" s="7"/>
    </row>
    <row r="73" s="6" customFormat="1" ht="104" customHeight="1" spans="1:13">
      <c r="A73" s="7">
        <v>72</v>
      </c>
      <c r="B73" s="26">
        <v>45984</v>
      </c>
      <c r="C73" s="8" t="s">
        <v>92</v>
      </c>
      <c r="D73" s="7" cm="1">
        <f t="array" ref="D73">SUM(VALUE(SUBSTITUTE(_xlfn.TEXTAFTER(_xlfn.TEXTSPLIT(C73,CHAR(10)),"-",-1),"km","")))</f>
        <v>238</v>
      </c>
      <c r="E73" s="9">
        <f t="shared" si="12"/>
        <v>3.94495412844037</v>
      </c>
      <c r="F73" s="9">
        <f t="shared" si="13"/>
        <v>4.3</v>
      </c>
      <c r="G73" s="9">
        <f t="shared" si="14"/>
        <v>938.899082568807</v>
      </c>
      <c r="H73" s="9">
        <f t="shared" si="15"/>
        <v>1023.4</v>
      </c>
      <c r="I73" s="9">
        <f t="shared" si="16"/>
        <v>3.5</v>
      </c>
      <c r="J73" s="9">
        <f t="shared" si="17"/>
        <v>833</v>
      </c>
      <c r="K73" s="7" t="s">
        <v>19</v>
      </c>
      <c r="L73" s="7"/>
      <c r="M73" s="7"/>
    </row>
    <row r="74" s="6" customFormat="1" ht="71.25" spans="1:13">
      <c r="A74" s="7">
        <v>73</v>
      </c>
      <c r="B74" s="26">
        <v>45985</v>
      </c>
      <c r="C74" s="8" t="s">
        <v>73</v>
      </c>
      <c r="D74" s="7" cm="1">
        <f t="array" ref="D74">SUM(VALUE(SUBSTITUTE(_xlfn.TEXTAFTER(_xlfn.TEXTSPLIT(C74,CHAR(10)),"-",-1),"km","")))</f>
        <v>251.3</v>
      </c>
      <c r="E74" s="9">
        <f t="shared" si="12"/>
        <v>3.94495412844037</v>
      </c>
      <c r="F74" s="9">
        <f t="shared" si="13"/>
        <v>4.3</v>
      </c>
      <c r="G74" s="9">
        <f t="shared" si="14"/>
        <v>991.366972477064</v>
      </c>
      <c r="H74" s="9">
        <f t="shared" si="15"/>
        <v>1080.59</v>
      </c>
      <c r="I74" s="9">
        <f t="shared" si="16"/>
        <v>3.5</v>
      </c>
      <c r="J74" s="9">
        <f t="shared" si="17"/>
        <v>879.55</v>
      </c>
      <c r="K74" s="7" t="s">
        <v>15</v>
      </c>
      <c r="L74" s="7"/>
      <c r="M74" s="7"/>
    </row>
    <row r="75" s="6" customFormat="1" ht="71.25" spans="1:13">
      <c r="A75" s="7">
        <v>74</v>
      </c>
      <c r="B75" s="26">
        <v>45985</v>
      </c>
      <c r="C75" s="8" t="s">
        <v>93</v>
      </c>
      <c r="D75" s="7" cm="1">
        <f t="array" ref="D75">SUM(VALUE(SUBSTITUTE(_xlfn.TEXTAFTER(_xlfn.TEXTSPLIT(C75,CHAR(10)),"-",-1),"km","")))</f>
        <v>273</v>
      </c>
      <c r="E75" s="9">
        <f t="shared" si="12"/>
        <v>3.94495412844037</v>
      </c>
      <c r="F75" s="9">
        <f t="shared" si="13"/>
        <v>4.3</v>
      </c>
      <c r="G75" s="9">
        <f t="shared" si="14"/>
        <v>1076.97247706422</v>
      </c>
      <c r="H75" s="9">
        <f t="shared" si="15"/>
        <v>1173.9</v>
      </c>
      <c r="I75" s="9">
        <f t="shared" si="16"/>
        <v>3.5</v>
      </c>
      <c r="J75" s="9">
        <f t="shared" si="17"/>
        <v>955.5</v>
      </c>
      <c r="K75" s="7" t="s">
        <v>19</v>
      </c>
      <c r="L75" s="7"/>
      <c r="M75" s="7"/>
    </row>
    <row r="76" s="6" customFormat="1" ht="55" customHeight="1" spans="1:13">
      <c r="A76" s="7">
        <v>75</v>
      </c>
      <c r="B76" s="26">
        <v>45985</v>
      </c>
      <c r="C76" s="8" t="s">
        <v>94</v>
      </c>
      <c r="D76" s="7" cm="1">
        <f t="array" ref="D76">SUM(VALUE(SUBSTITUTE(_xlfn.TEXTAFTER(_xlfn.TEXTSPLIT(C76,CHAR(10)),"-",-1),"km","")))</f>
        <v>151</v>
      </c>
      <c r="E76" s="9">
        <f t="shared" si="12"/>
        <v>4.12844036697248</v>
      </c>
      <c r="F76" s="9">
        <f t="shared" si="13"/>
        <v>4.5</v>
      </c>
      <c r="G76" s="9">
        <f t="shared" si="14"/>
        <v>623.394495412844</v>
      </c>
      <c r="H76" s="9">
        <f t="shared" si="15"/>
        <v>679.5</v>
      </c>
      <c r="I76" s="9">
        <f t="shared" si="16"/>
        <v>3.5</v>
      </c>
      <c r="J76" s="9">
        <f t="shared" si="17"/>
        <v>528.5</v>
      </c>
      <c r="K76" s="7" t="s">
        <v>25</v>
      </c>
      <c r="L76" s="7"/>
      <c r="M76" s="7"/>
    </row>
    <row r="77" s="6" customFormat="1" ht="71.25" spans="1:13">
      <c r="A77" s="7">
        <v>76</v>
      </c>
      <c r="B77" s="26">
        <v>45986</v>
      </c>
      <c r="C77" s="8" t="s">
        <v>95</v>
      </c>
      <c r="D77" s="7" cm="1">
        <f t="array" ref="D77">SUM(VALUE(SUBSTITUTE(_xlfn.TEXTAFTER(_xlfn.TEXTSPLIT(C77,CHAR(10)),"-",-1),"km","")))</f>
        <v>480</v>
      </c>
      <c r="E77" s="9">
        <f t="shared" ref="E77:E102" si="18">F77/1.09</f>
        <v>3.76146788990826</v>
      </c>
      <c r="F77" s="9">
        <f t="shared" ref="F77:F105" si="19">IF(D77&gt;=301,4.1,IF(D77&gt;=201,4.3,IF(D77&gt;=101,4.5,"")))</f>
        <v>4.1</v>
      </c>
      <c r="G77" s="9">
        <f t="shared" ref="G77:G102" si="20">D77*E77</f>
        <v>1805.50458715596</v>
      </c>
      <c r="H77" s="9">
        <f t="shared" ref="H77:H102" si="21">D77*F77</f>
        <v>1968</v>
      </c>
      <c r="I77" s="9">
        <f t="shared" ref="I77:I105" si="22">IF(D77&gt;=301,3.2,IF(D77&gt;=201,3.5,IF(D77&gt;=101,3.5,"")))</f>
        <v>3.2</v>
      </c>
      <c r="J77" s="9">
        <f t="shared" ref="J77:J102" si="23">D77*I77</f>
        <v>1536</v>
      </c>
      <c r="K77" s="7" t="s">
        <v>15</v>
      </c>
      <c r="L77" s="7"/>
      <c r="M77" s="7"/>
    </row>
    <row r="78" s="6" customFormat="1" ht="28.5" spans="1:13">
      <c r="A78" s="7">
        <v>77</v>
      </c>
      <c r="B78" s="26">
        <v>45986</v>
      </c>
      <c r="C78" s="29" t="s">
        <v>96</v>
      </c>
      <c r="D78" s="7" cm="1">
        <f t="array" ref="D78">SUM(VALUE(SUBSTITUTE(_xlfn.TEXTAFTER(_xlfn.TEXTSPLIT(C78,CHAR(10)),"-",-1),"km","")))</f>
        <v>394</v>
      </c>
      <c r="E78" s="9">
        <f t="shared" si="18"/>
        <v>3.76146788990826</v>
      </c>
      <c r="F78" s="9">
        <f t="shared" si="19"/>
        <v>4.1</v>
      </c>
      <c r="G78" s="9">
        <f t="shared" si="20"/>
        <v>1482.01834862385</v>
      </c>
      <c r="H78" s="9">
        <f t="shared" si="21"/>
        <v>1615.4</v>
      </c>
      <c r="I78" s="9">
        <f t="shared" si="22"/>
        <v>3.2</v>
      </c>
      <c r="J78" s="9">
        <f t="shared" si="23"/>
        <v>1260.8</v>
      </c>
      <c r="K78" s="7" t="s">
        <v>36</v>
      </c>
      <c r="L78" s="7"/>
      <c r="M78" s="7"/>
    </row>
    <row r="79" s="6" customFormat="1" ht="42.75" spans="1:13">
      <c r="A79" s="7">
        <v>78</v>
      </c>
      <c r="B79" s="26">
        <v>45986</v>
      </c>
      <c r="C79" s="8" t="s">
        <v>97</v>
      </c>
      <c r="D79" s="7" cm="1">
        <f t="array" ref="D79">SUM(VALUE(SUBSTITUTE(_xlfn.TEXTAFTER(_xlfn.TEXTSPLIT(C79,CHAR(10)),"-",-1),"km","")))</f>
        <v>298</v>
      </c>
      <c r="E79" s="9">
        <f t="shared" si="18"/>
        <v>3.94495412844037</v>
      </c>
      <c r="F79" s="9">
        <f t="shared" si="19"/>
        <v>4.3</v>
      </c>
      <c r="G79" s="9">
        <f t="shared" si="20"/>
        <v>1175.59633027523</v>
      </c>
      <c r="H79" s="9">
        <f t="shared" si="21"/>
        <v>1281.4</v>
      </c>
      <c r="I79" s="9">
        <f t="shared" si="22"/>
        <v>3.5</v>
      </c>
      <c r="J79" s="9">
        <f t="shared" si="23"/>
        <v>1043</v>
      </c>
      <c r="K79" s="7" t="s">
        <v>25</v>
      </c>
      <c r="L79" s="7"/>
      <c r="M79" s="7"/>
    </row>
    <row r="80" s="6" customFormat="1" ht="71.25" spans="1:13">
      <c r="A80" s="7">
        <v>79</v>
      </c>
      <c r="B80" s="26">
        <v>45986</v>
      </c>
      <c r="C80" s="8" t="s">
        <v>98</v>
      </c>
      <c r="D80" s="7" cm="1">
        <f t="array" ref="D80">SUM(VALUE(SUBSTITUTE(_xlfn.TEXTAFTER(_xlfn.TEXTSPLIT(C80,CHAR(10)),"-",-1),"km","")))</f>
        <v>448</v>
      </c>
      <c r="E80" s="9">
        <f t="shared" si="18"/>
        <v>3.76146788990826</v>
      </c>
      <c r="F80" s="9">
        <f t="shared" si="19"/>
        <v>4.1</v>
      </c>
      <c r="G80" s="9">
        <f t="shared" si="20"/>
        <v>1685.1376146789</v>
      </c>
      <c r="H80" s="9">
        <f t="shared" si="21"/>
        <v>1836.8</v>
      </c>
      <c r="I80" s="9">
        <f t="shared" si="22"/>
        <v>3.2</v>
      </c>
      <c r="J80" s="9">
        <f t="shared" si="23"/>
        <v>1433.6</v>
      </c>
      <c r="K80" s="7" t="s">
        <v>19</v>
      </c>
      <c r="L80" s="7"/>
      <c r="M80" s="7"/>
    </row>
    <row r="81" s="6" customFormat="1" ht="85.5" spans="1:13">
      <c r="A81" s="7">
        <v>80</v>
      </c>
      <c r="B81" s="26">
        <v>45986</v>
      </c>
      <c r="C81" s="8" t="s">
        <v>99</v>
      </c>
      <c r="D81" s="7" cm="1">
        <f t="array" ref="D81">SUM(VALUE(SUBSTITUTE(_xlfn.TEXTAFTER(_xlfn.TEXTSPLIT(C81,CHAR(10)),"-",-1),"km","")))</f>
        <v>297</v>
      </c>
      <c r="E81" s="9">
        <f t="shared" si="18"/>
        <v>3.94495412844037</v>
      </c>
      <c r="F81" s="9">
        <f t="shared" si="19"/>
        <v>4.3</v>
      </c>
      <c r="G81" s="9">
        <f t="shared" si="20"/>
        <v>1171.65137614679</v>
      </c>
      <c r="H81" s="9">
        <f t="shared" si="21"/>
        <v>1277.1</v>
      </c>
      <c r="I81" s="9">
        <f t="shared" si="22"/>
        <v>3.5</v>
      </c>
      <c r="J81" s="9">
        <f t="shared" si="23"/>
        <v>1039.5</v>
      </c>
      <c r="K81" s="7" t="s">
        <v>13</v>
      </c>
      <c r="L81" s="7"/>
      <c r="M81" s="7"/>
    </row>
    <row r="82" s="6" customFormat="1" ht="114" spans="1:13">
      <c r="A82" s="7">
        <v>81</v>
      </c>
      <c r="B82" s="26">
        <v>45987</v>
      </c>
      <c r="C82" s="8" t="s">
        <v>100</v>
      </c>
      <c r="D82" s="7" cm="1">
        <f t="array" ref="D82">SUM(VALUE(SUBSTITUTE(_xlfn.TEXTAFTER(_xlfn.TEXTSPLIT(C82,CHAR(10)),"-",-1),"km","")))</f>
        <v>304.3</v>
      </c>
      <c r="E82" s="9">
        <f t="shared" si="18"/>
        <v>3.76146788990826</v>
      </c>
      <c r="F82" s="9">
        <f t="shared" si="19"/>
        <v>4.1</v>
      </c>
      <c r="G82" s="9">
        <f t="shared" si="20"/>
        <v>1144.61467889908</v>
      </c>
      <c r="H82" s="9">
        <f t="shared" si="21"/>
        <v>1247.63</v>
      </c>
      <c r="I82" s="9">
        <f t="shared" si="22"/>
        <v>3.2</v>
      </c>
      <c r="J82" s="9">
        <f t="shared" si="23"/>
        <v>973.76</v>
      </c>
      <c r="K82" s="7" t="s">
        <v>17</v>
      </c>
      <c r="L82" s="7"/>
      <c r="M82" s="7"/>
    </row>
    <row r="83" s="6" customFormat="1" ht="85.5" spans="1:13">
      <c r="A83" s="7">
        <v>82</v>
      </c>
      <c r="B83" s="26">
        <v>45987</v>
      </c>
      <c r="C83" s="8" t="s">
        <v>101</v>
      </c>
      <c r="D83" s="7" cm="1">
        <f t="array" ref="D83">SUM(VALUE(SUBSTITUTE(_xlfn.TEXTAFTER(_xlfn.TEXTSPLIT(C83,CHAR(10)),"-",-1),"km","")))</f>
        <v>202.3</v>
      </c>
      <c r="E83" s="9">
        <f t="shared" si="18"/>
        <v>3.94495412844037</v>
      </c>
      <c r="F83" s="9">
        <f t="shared" si="19"/>
        <v>4.3</v>
      </c>
      <c r="G83" s="9">
        <f t="shared" si="20"/>
        <v>798.064220183486</v>
      </c>
      <c r="H83" s="9">
        <f t="shared" si="21"/>
        <v>869.89</v>
      </c>
      <c r="I83" s="9">
        <f t="shared" si="22"/>
        <v>3.5</v>
      </c>
      <c r="J83" s="9">
        <f t="shared" si="23"/>
        <v>708.05</v>
      </c>
      <c r="K83" s="7" t="s">
        <v>13</v>
      </c>
      <c r="L83" s="7"/>
      <c r="M83" s="7"/>
    </row>
    <row r="84" s="6" customFormat="1" ht="71.25" spans="1:13">
      <c r="A84" s="7">
        <v>83</v>
      </c>
      <c r="B84" s="26">
        <v>45987</v>
      </c>
      <c r="C84" s="8" t="s">
        <v>102</v>
      </c>
      <c r="D84" s="7" cm="1">
        <f t="array" ref="D84">SUM(VALUE(SUBSTITUTE(_xlfn.TEXTAFTER(_xlfn.TEXTSPLIT(C84,CHAR(10)),"-",-1),"km","")))</f>
        <v>234.3</v>
      </c>
      <c r="E84" s="9">
        <f t="shared" si="18"/>
        <v>3.94495412844037</v>
      </c>
      <c r="F84" s="9">
        <f t="shared" si="19"/>
        <v>4.3</v>
      </c>
      <c r="G84" s="9">
        <f t="shared" si="20"/>
        <v>924.302752293578</v>
      </c>
      <c r="H84" s="9">
        <f t="shared" si="21"/>
        <v>1007.49</v>
      </c>
      <c r="I84" s="9">
        <f t="shared" si="22"/>
        <v>3.5</v>
      </c>
      <c r="J84" s="9">
        <f t="shared" si="23"/>
        <v>820.05</v>
      </c>
      <c r="K84" s="7" t="s">
        <v>41</v>
      </c>
      <c r="L84" s="7"/>
      <c r="M84" s="7"/>
    </row>
    <row r="85" s="6" customFormat="1" ht="99.75" spans="1:13">
      <c r="A85" s="7">
        <v>84</v>
      </c>
      <c r="B85" s="26">
        <v>45988</v>
      </c>
      <c r="C85" s="8" t="s">
        <v>103</v>
      </c>
      <c r="D85" s="7" cm="1">
        <f t="array" ref="D85">SUM(VALUE(SUBSTITUTE(_xlfn.TEXTAFTER(_xlfn.TEXTSPLIT(C85,CHAR(10)),"-",-1),"km","")))</f>
        <v>496</v>
      </c>
      <c r="E85" s="9">
        <f t="shared" si="18"/>
        <v>3.76146788990826</v>
      </c>
      <c r="F85" s="9">
        <f t="shared" si="19"/>
        <v>4.1</v>
      </c>
      <c r="G85" s="9">
        <f t="shared" si="20"/>
        <v>1865.68807339449</v>
      </c>
      <c r="H85" s="9">
        <f t="shared" si="21"/>
        <v>2033.6</v>
      </c>
      <c r="I85" s="9">
        <f t="shared" si="22"/>
        <v>3.2</v>
      </c>
      <c r="J85" s="9">
        <f t="shared" si="23"/>
        <v>1587.2</v>
      </c>
      <c r="K85" s="7" t="s">
        <v>13</v>
      </c>
      <c r="L85" s="7"/>
      <c r="M85" s="7"/>
    </row>
    <row r="86" s="6" customFormat="1" ht="99.75" spans="1:13">
      <c r="A86" s="7">
        <v>85</v>
      </c>
      <c r="B86" s="26">
        <v>45988</v>
      </c>
      <c r="C86" s="8" t="s">
        <v>104</v>
      </c>
      <c r="D86" s="7" cm="1">
        <f t="array" ref="D86">SUM(VALUE(SUBSTITUTE(_xlfn.TEXTAFTER(_xlfn.TEXTSPLIT(C86,CHAR(10)),"-",-1),"km","")))</f>
        <v>388</v>
      </c>
      <c r="E86" s="9">
        <f t="shared" si="18"/>
        <v>3.76146788990826</v>
      </c>
      <c r="F86" s="9">
        <f t="shared" si="19"/>
        <v>4.1</v>
      </c>
      <c r="G86" s="9">
        <f t="shared" si="20"/>
        <v>1459.4495412844</v>
      </c>
      <c r="H86" s="9">
        <f t="shared" si="21"/>
        <v>1590.8</v>
      </c>
      <c r="I86" s="9">
        <f t="shared" si="22"/>
        <v>3.2</v>
      </c>
      <c r="J86" s="9">
        <f t="shared" si="23"/>
        <v>1241.6</v>
      </c>
      <c r="K86" s="7" t="s">
        <v>25</v>
      </c>
      <c r="L86" s="7"/>
      <c r="M86" s="7"/>
    </row>
    <row r="87" s="6" customFormat="1" ht="99.75" spans="1:13">
      <c r="A87" s="7">
        <v>86</v>
      </c>
      <c r="B87" s="26">
        <v>45988</v>
      </c>
      <c r="C87" s="8" t="s">
        <v>105</v>
      </c>
      <c r="D87" s="7" cm="1">
        <f t="array" ref="D87">SUM(VALUE(SUBSTITUTE(_xlfn.TEXTAFTER(_xlfn.TEXTSPLIT(C87,CHAR(10)),"-",-1),"km","")))</f>
        <v>482.1</v>
      </c>
      <c r="E87" s="9">
        <f t="shared" si="18"/>
        <v>3.76146788990826</v>
      </c>
      <c r="F87" s="9">
        <f t="shared" si="19"/>
        <v>4.1</v>
      </c>
      <c r="G87" s="9">
        <f t="shared" si="20"/>
        <v>1813.40366972477</v>
      </c>
      <c r="H87" s="9">
        <f t="shared" si="21"/>
        <v>1976.61</v>
      </c>
      <c r="I87" s="9">
        <f t="shared" si="22"/>
        <v>3.2</v>
      </c>
      <c r="J87" s="9">
        <f t="shared" si="23"/>
        <v>1542.72</v>
      </c>
      <c r="K87" s="7" t="s">
        <v>17</v>
      </c>
      <c r="L87" s="7"/>
      <c r="M87" s="7"/>
    </row>
    <row r="88" s="6" customFormat="1" ht="114" spans="1:13">
      <c r="A88" s="7">
        <v>87</v>
      </c>
      <c r="B88" s="26">
        <v>45989</v>
      </c>
      <c r="C88" s="8" t="s">
        <v>106</v>
      </c>
      <c r="D88" s="7" cm="1">
        <f t="array" ref="D88">SUM(VALUE(SUBSTITUTE(_xlfn.TEXTAFTER(_xlfn.TEXTSPLIT(C88,CHAR(10)),"-",-1),"km","")))</f>
        <v>293.7</v>
      </c>
      <c r="E88" s="9">
        <f t="shared" si="18"/>
        <v>3.94495412844037</v>
      </c>
      <c r="F88" s="9">
        <f t="shared" si="19"/>
        <v>4.3</v>
      </c>
      <c r="G88" s="9">
        <f t="shared" si="20"/>
        <v>1158.63302752294</v>
      </c>
      <c r="H88" s="9">
        <f t="shared" si="21"/>
        <v>1262.91</v>
      </c>
      <c r="I88" s="9">
        <f t="shared" si="22"/>
        <v>3.5</v>
      </c>
      <c r="J88" s="9">
        <f t="shared" si="23"/>
        <v>1027.95</v>
      </c>
      <c r="K88" s="7" t="s">
        <v>15</v>
      </c>
      <c r="L88" s="7"/>
      <c r="M88" s="7"/>
    </row>
    <row r="89" s="6" customFormat="1" ht="114" spans="1:13">
      <c r="A89" s="7">
        <v>88</v>
      </c>
      <c r="B89" s="26">
        <v>45989</v>
      </c>
      <c r="C89" s="8" t="s">
        <v>107</v>
      </c>
      <c r="D89" s="7" cm="1">
        <f t="array" ref="D89">SUM(VALUE(SUBSTITUTE(_xlfn.TEXTAFTER(_xlfn.TEXTSPLIT(C89,CHAR(10)),"-",-1),"km","")))</f>
        <v>193.5</v>
      </c>
      <c r="E89" s="9">
        <f t="shared" si="18"/>
        <v>4.12844036697248</v>
      </c>
      <c r="F89" s="9">
        <f t="shared" si="19"/>
        <v>4.5</v>
      </c>
      <c r="G89" s="9">
        <f t="shared" si="20"/>
        <v>798.853211009174</v>
      </c>
      <c r="H89" s="9">
        <f t="shared" si="21"/>
        <v>870.75</v>
      </c>
      <c r="I89" s="9">
        <f t="shared" si="22"/>
        <v>3.5</v>
      </c>
      <c r="J89" s="9">
        <f t="shared" si="23"/>
        <v>677.25</v>
      </c>
      <c r="K89" s="7" t="s">
        <v>41</v>
      </c>
      <c r="L89" s="7"/>
      <c r="M89" s="7"/>
    </row>
    <row r="90" s="6" customFormat="1" ht="99.75" spans="1:13">
      <c r="A90" s="7">
        <v>89</v>
      </c>
      <c r="B90" s="26">
        <v>45989</v>
      </c>
      <c r="C90" s="8" t="s">
        <v>108</v>
      </c>
      <c r="D90" s="7" cm="1">
        <f t="array" ref="D90">SUM(VALUE(SUBSTITUTE(_xlfn.TEXTAFTER(_xlfn.TEXTSPLIT(C90,CHAR(10)),"-",-1),"km","")))</f>
        <v>237</v>
      </c>
      <c r="E90" s="9">
        <f t="shared" si="18"/>
        <v>3.94495412844037</v>
      </c>
      <c r="F90" s="9">
        <f t="shared" si="19"/>
        <v>4.3</v>
      </c>
      <c r="G90" s="9">
        <f t="shared" si="20"/>
        <v>934.954128440367</v>
      </c>
      <c r="H90" s="9">
        <f t="shared" si="21"/>
        <v>1019.1</v>
      </c>
      <c r="I90" s="9">
        <f t="shared" si="22"/>
        <v>3.5</v>
      </c>
      <c r="J90" s="9">
        <f t="shared" si="23"/>
        <v>829.5</v>
      </c>
      <c r="K90" s="7" t="s">
        <v>41</v>
      </c>
      <c r="L90" s="7"/>
      <c r="M90" s="7"/>
    </row>
    <row r="91" s="6" customFormat="1" ht="99.75" spans="1:13">
      <c r="A91" s="7">
        <v>90</v>
      </c>
      <c r="B91" s="26">
        <v>45989</v>
      </c>
      <c r="C91" s="8" t="s">
        <v>109</v>
      </c>
      <c r="D91" s="7" cm="1">
        <f t="array" ref="D91">SUM(VALUE(SUBSTITUTE(_xlfn.TEXTAFTER(_xlfn.TEXTSPLIT(C91,CHAR(10)),"-",-1),"km","")))</f>
        <v>243.6</v>
      </c>
      <c r="E91" s="9">
        <f t="shared" si="18"/>
        <v>3.94495412844037</v>
      </c>
      <c r="F91" s="9">
        <f t="shared" si="19"/>
        <v>4.3</v>
      </c>
      <c r="G91" s="9">
        <f t="shared" si="20"/>
        <v>960.990825688073</v>
      </c>
      <c r="H91" s="9">
        <f t="shared" si="21"/>
        <v>1047.48</v>
      </c>
      <c r="I91" s="9">
        <f t="shared" si="22"/>
        <v>3.5</v>
      </c>
      <c r="J91" s="9">
        <f t="shared" si="23"/>
        <v>852.6</v>
      </c>
      <c r="K91" s="7" t="s">
        <v>41</v>
      </c>
      <c r="L91" s="7"/>
      <c r="M91" s="7"/>
    </row>
    <row r="92" ht="99.75" spans="1:13">
      <c r="A92" s="7">
        <v>91</v>
      </c>
      <c r="B92" s="26">
        <v>45990</v>
      </c>
      <c r="C92" s="8" t="s">
        <v>110</v>
      </c>
      <c r="D92" s="7" cm="1">
        <f t="array" ref="D92">SUM(VALUE(SUBSTITUTE(_xlfn.TEXTAFTER(_xlfn.TEXTSPLIT(C92,CHAR(10)),"-",-1),"km","")))</f>
        <v>679</v>
      </c>
      <c r="E92" s="9">
        <f>F92/1.09</f>
        <v>3.76146788990826</v>
      </c>
      <c r="F92" s="9">
        <f>IF(D92&gt;=301,4.1,IF(D92&gt;=201,4.3,IF(D92&gt;=101,4.5,"")))</f>
        <v>4.1</v>
      </c>
      <c r="G92" s="9">
        <f>D92*E92</f>
        <v>2554.03669724771</v>
      </c>
      <c r="H92" s="9">
        <f>D92*F92</f>
        <v>2783.9</v>
      </c>
      <c r="I92" s="9">
        <f>IF(D92&gt;=301,3.2,IF(D92&gt;=201,3.5,IF(D92&gt;=101,3.5,"")))</f>
        <v>3.2</v>
      </c>
      <c r="J92" s="9">
        <f>D92*I92</f>
        <v>2172.8</v>
      </c>
      <c r="K92" s="7" t="s">
        <v>19</v>
      </c>
      <c r="L92" s="7"/>
      <c r="M92" s="7"/>
    </row>
    <row r="93" ht="128.25" spans="1:13">
      <c r="A93" s="7">
        <v>92</v>
      </c>
      <c r="B93" s="26">
        <v>45990</v>
      </c>
      <c r="C93" s="8" t="s">
        <v>111</v>
      </c>
      <c r="D93" s="7" cm="1">
        <f t="array" ref="D93">SUM(VALUE(SUBSTITUTE(_xlfn.TEXTAFTER(_xlfn.TEXTSPLIT(C93,CHAR(10)),"-",-1),"km","")))</f>
        <v>573</v>
      </c>
      <c r="E93" s="9">
        <f>F93/1.09</f>
        <v>3.76146788990826</v>
      </c>
      <c r="F93" s="9">
        <f>IF(D93&gt;=301,4.1,IF(D93&gt;=201,4.3,IF(D93&gt;=101,4.5,"")))</f>
        <v>4.1</v>
      </c>
      <c r="G93" s="9">
        <f>D93*E93</f>
        <v>2155.32110091743</v>
      </c>
      <c r="H93" s="9">
        <f>D93*F93</f>
        <v>2349.3</v>
      </c>
      <c r="I93" s="9">
        <f>IF(D93&gt;=301,3.2,IF(D93&gt;=201,3.5,IF(D93&gt;=101,3.5,"")))</f>
        <v>3.2</v>
      </c>
      <c r="J93" s="9">
        <f>D93*I93</f>
        <v>1833.6</v>
      </c>
      <c r="K93" s="7" t="s">
        <v>13</v>
      </c>
      <c r="L93" s="7"/>
      <c r="M93" s="7"/>
    </row>
    <row r="94" ht="85.5" spans="1:13">
      <c r="A94" s="7">
        <v>93</v>
      </c>
      <c r="B94" s="26">
        <v>45990</v>
      </c>
      <c r="C94" s="8" t="s">
        <v>112</v>
      </c>
      <c r="D94" s="7" cm="1">
        <f t="array" ref="D94">SUM(VALUE(SUBSTITUTE(_xlfn.TEXTAFTER(_xlfn.TEXTSPLIT(C94,CHAR(10)),"-",-1),"km","")))</f>
        <v>272.8</v>
      </c>
      <c r="E94" s="9">
        <f>F94/1.09</f>
        <v>3.94495412844037</v>
      </c>
      <c r="F94" s="9">
        <f>IF(D94&gt;=301,4.1,IF(D94&gt;=201,4.3,IF(D94&gt;=101,4.5,"")))</f>
        <v>4.3</v>
      </c>
      <c r="G94" s="9">
        <f>D94*E94</f>
        <v>1076.18348623853</v>
      </c>
      <c r="H94" s="9">
        <f>D94*F94</f>
        <v>1173.04</v>
      </c>
      <c r="I94" s="9">
        <f>IF(D94&gt;=301,3.2,IF(D94&gt;=201,3.5,IF(D94&gt;=101,3.5,"")))</f>
        <v>3.5</v>
      </c>
      <c r="J94" s="9">
        <f>D94*I94</f>
        <v>954.8</v>
      </c>
      <c r="K94" s="7" t="s">
        <v>28</v>
      </c>
      <c r="L94" s="7"/>
      <c r="M94" s="7"/>
    </row>
    <row r="95" ht="125" customHeight="1" spans="1:13">
      <c r="A95" s="7">
        <v>94</v>
      </c>
      <c r="B95" s="26">
        <v>45991</v>
      </c>
      <c r="C95" s="8" t="s">
        <v>113</v>
      </c>
      <c r="D95" s="7" cm="1">
        <f t="array" ref="D95">SUM(VALUE(SUBSTITUTE(_xlfn.TEXTAFTER(_xlfn.TEXTSPLIT(C95,CHAR(10)),"-",-1),"km","")))</f>
        <v>204.3</v>
      </c>
      <c r="E95" s="9">
        <f>F95/1.09</f>
        <v>3.94495412844037</v>
      </c>
      <c r="F95" s="9">
        <f>IF(D95&gt;=301,4.1,IF(D95&gt;=201,4.3,IF(D95&gt;=101,4.5,"")))</f>
        <v>4.3</v>
      </c>
      <c r="G95" s="9">
        <f>D95*E95</f>
        <v>805.954128440367</v>
      </c>
      <c r="H95" s="9">
        <f>D95*F95</f>
        <v>878.49</v>
      </c>
      <c r="I95" s="9">
        <f>IF(D95&gt;=301,3.2,IF(D95&gt;=201,3.5,IF(D95&gt;=101,3.5,"")))</f>
        <v>3.5</v>
      </c>
      <c r="J95" s="9">
        <f>D95*I95</f>
        <v>715.05</v>
      </c>
      <c r="K95" s="7" t="s">
        <v>36</v>
      </c>
      <c r="L95" s="7"/>
      <c r="M95" s="7"/>
    </row>
  </sheetData>
  <autoFilter xmlns:etc="http://www.wps.cn/officeDocument/2017/etCustomData" ref="A1:Q9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15.625" defaultRowHeight="14.25"/>
  <cols>
    <col min="1" max="1" width="11.375" style="2" customWidth="1"/>
    <col min="2" max="2" width="11.125" style="2" customWidth="1"/>
    <col min="3" max="3" width="42.375" style="3" customWidth="1"/>
    <col min="4" max="4" width="15.875" style="2" customWidth="1"/>
    <col min="5" max="5" width="12.125" style="2" hidden="1" customWidth="1"/>
    <col min="6" max="7" width="15.625" style="4" customWidth="1"/>
    <col min="8" max="8" width="14.25" style="5" customWidth="1"/>
    <col min="9" max="9" width="12.25" style="5" customWidth="1"/>
    <col min="10" max="10" width="11.5083333333333" style="5" customWidth="1"/>
    <col min="11" max="11" width="15.625" style="5" customWidth="1"/>
    <col min="12" max="12" width="15.625" style="6" customWidth="1"/>
    <col min="13" max="16384" width="15.625" style="2" customWidth="1"/>
  </cols>
  <sheetData>
    <row r="1" ht="30" customHeight="1" spans="1:14">
      <c r="A1" s="7" t="s">
        <v>0</v>
      </c>
      <c r="B1" s="7" t="s">
        <v>1</v>
      </c>
      <c r="C1" s="8" t="s">
        <v>2</v>
      </c>
      <c r="D1" s="7" t="s">
        <v>3</v>
      </c>
      <c r="E1" s="7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8</v>
      </c>
      <c r="L1" s="7" t="s">
        <v>9</v>
      </c>
      <c r="M1" s="7" t="s">
        <v>10</v>
      </c>
      <c r="N1" s="7" t="s">
        <v>11</v>
      </c>
    </row>
    <row r="2" s="1" customFormat="1" ht="85.5" spans="1:14">
      <c r="A2" s="10">
        <v>82</v>
      </c>
      <c r="B2" s="11">
        <v>45948</v>
      </c>
      <c r="C2" s="12" t="s">
        <v>114</v>
      </c>
      <c r="D2" s="10" t="e" cm="1">
        <f t="array" ref="D2">SUM(VALUE(SUBSTITUTE(_xlfn.TEXTAFTER(_xlfn.TEXTSPLIT(C2,CHAR(10)),"-",-1),"km","")))</f>
        <v>#VALUE!</v>
      </c>
      <c r="E2" s="10">
        <f t="shared" ref="E2:E4" si="0">18+22+67+10+12</f>
        <v>129</v>
      </c>
      <c r="F2" s="13" t="e">
        <f t="shared" ref="F2:F34" si="1">G2/1.09</f>
        <v>#VALUE!</v>
      </c>
      <c r="G2" s="13" t="e">
        <f t="shared" ref="G2:G27" si="2">IF(D2&gt;=301,4.1,IF(D2&gt;=201,4.3,IF(D2&gt;=101,4.5,"")))</f>
        <v>#VALUE!</v>
      </c>
      <c r="H2" s="13" t="e">
        <f t="shared" ref="H2:H34" si="3">D2*F2</f>
        <v>#VALUE!</v>
      </c>
      <c r="I2" s="13" t="e">
        <f t="shared" ref="I2:I34" si="4">D2*G2</f>
        <v>#VALUE!</v>
      </c>
      <c r="J2" s="13" t="e">
        <f t="shared" ref="J2:J27" si="5">IF(D2&gt;=301,3.2,IF(D2&gt;=201,3.5,IF(D2&gt;=101,3.5,"")))</f>
        <v>#VALUE!</v>
      </c>
      <c r="K2" s="13" t="e">
        <f t="shared" ref="K2:K34" si="6">D2*J2</f>
        <v>#VALUE!</v>
      </c>
      <c r="L2" s="10"/>
      <c r="M2" s="10"/>
      <c r="N2" s="10"/>
    </row>
    <row r="3" ht="71.25" spans="1:14">
      <c r="A3" s="14">
        <v>83</v>
      </c>
      <c r="B3" s="15">
        <v>45948</v>
      </c>
      <c r="C3" s="16" t="s">
        <v>115</v>
      </c>
      <c r="D3" s="14" cm="1">
        <f t="array" ref="D3">SUM(VALUE(SUBSTITUTE(_xlfn.TEXTAFTER(_xlfn.TEXTSPLIT(C3,CHAR(10)),"-",-1),"km","")))</f>
        <v>378.8</v>
      </c>
      <c r="E3" s="14">
        <f t="shared" si="0"/>
        <v>129</v>
      </c>
      <c r="F3" s="17">
        <f t="shared" si="1"/>
        <v>3.76146788990826</v>
      </c>
      <c r="G3" s="17">
        <f t="shared" si="2"/>
        <v>4.1</v>
      </c>
      <c r="H3" s="9">
        <f t="shared" si="3"/>
        <v>1424.84403669725</v>
      </c>
      <c r="I3" s="9">
        <f t="shared" si="4"/>
        <v>1553.08</v>
      </c>
      <c r="J3" s="9">
        <f t="shared" si="5"/>
        <v>3.2</v>
      </c>
      <c r="K3" s="9">
        <f t="shared" si="6"/>
        <v>1212.16</v>
      </c>
      <c r="L3" s="7"/>
      <c r="M3" s="14"/>
      <c r="N3" s="14"/>
    </row>
    <row r="4" ht="85.5" spans="1:14">
      <c r="A4" s="14">
        <v>84</v>
      </c>
      <c r="B4" s="15">
        <v>45948</v>
      </c>
      <c r="C4" s="16" t="s">
        <v>116</v>
      </c>
      <c r="D4" s="14" cm="1">
        <f t="array" ref="D4">SUM(VALUE(SUBSTITUTE(_xlfn.TEXTAFTER(_xlfn.TEXTSPLIT(C4,CHAR(10)),"-",-1),"km","")))</f>
        <v>675</v>
      </c>
      <c r="E4" s="14">
        <f t="shared" si="0"/>
        <v>129</v>
      </c>
      <c r="F4" s="17">
        <f t="shared" si="1"/>
        <v>3.76146788990826</v>
      </c>
      <c r="G4" s="17">
        <f t="shared" si="2"/>
        <v>4.1</v>
      </c>
      <c r="H4" s="9">
        <f t="shared" si="3"/>
        <v>2538.99082568807</v>
      </c>
      <c r="I4" s="9">
        <f t="shared" si="4"/>
        <v>2767.5</v>
      </c>
      <c r="J4" s="9">
        <f t="shared" si="5"/>
        <v>3.2</v>
      </c>
      <c r="K4" s="9">
        <f t="shared" si="6"/>
        <v>2160</v>
      </c>
      <c r="L4" s="7"/>
      <c r="M4" s="14"/>
      <c r="N4" s="14"/>
    </row>
    <row r="5" ht="57" spans="1:14">
      <c r="A5" s="14">
        <v>85</v>
      </c>
      <c r="B5" s="15">
        <v>45949</v>
      </c>
      <c r="C5" s="16" t="s">
        <v>117</v>
      </c>
      <c r="D5" s="14" cm="1">
        <f t="array" ref="D5">SUM(VALUE(SUBSTITUTE(_xlfn.TEXTAFTER(_xlfn.TEXTSPLIT(C5,CHAR(10)),"-",-1),"km","")))</f>
        <v>162.4</v>
      </c>
      <c r="E5" s="14">
        <f>152+7.9+3.1+16+58</f>
        <v>237</v>
      </c>
      <c r="F5" s="17">
        <f t="shared" si="1"/>
        <v>4.12844036697248</v>
      </c>
      <c r="G5" s="17">
        <f t="shared" si="2"/>
        <v>4.5</v>
      </c>
      <c r="H5" s="9">
        <f t="shared" si="3"/>
        <v>670.45871559633</v>
      </c>
      <c r="I5" s="9">
        <f t="shared" si="4"/>
        <v>730.8</v>
      </c>
      <c r="J5" s="9">
        <f t="shared" si="5"/>
        <v>3.5</v>
      </c>
      <c r="K5" s="9">
        <f t="shared" si="6"/>
        <v>568.4</v>
      </c>
      <c r="L5" s="7"/>
      <c r="M5" s="14"/>
      <c r="N5" s="14"/>
    </row>
    <row r="6" ht="57" spans="1:14">
      <c r="A6" s="14">
        <v>86</v>
      </c>
      <c r="B6" s="15">
        <v>45950</v>
      </c>
      <c r="C6" s="16" t="s">
        <v>118</v>
      </c>
      <c r="D6" s="14" cm="1">
        <f t="array" ref="D6">SUM(VALUE(SUBSTITUTE(_xlfn.TEXTAFTER(_xlfn.TEXTSPLIT(C6,CHAR(10)),"-",-1),"km","")))</f>
        <v>160.7</v>
      </c>
      <c r="E6" s="14">
        <f>120+91+42+60</f>
        <v>313</v>
      </c>
      <c r="F6" s="17">
        <f t="shared" si="1"/>
        <v>4.12844036697248</v>
      </c>
      <c r="G6" s="17">
        <f t="shared" si="2"/>
        <v>4.5</v>
      </c>
      <c r="H6" s="9">
        <f t="shared" si="3"/>
        <v>663.440366972477</v>
      </c>
      <c r="I6" s="9">
        <f t="shared" si="4"/>
        <v>723.15</v>
      </c>
      <c r="J6" s="9">
        <f t="shared" si="5"/>
        <v>3.5</v>
      </c>
      <c r="K6" s="9">
        <f t="shared" si="6"/>
        <v>562.45</v>
      </c>
      <c r="L6" s="7"/>
      <c r="M6" s="14"/>
      <c r="N6" s="14"/>
    </row>
    <row r="7" ht="71.25" spans="1:14">
      <c r="A7" s="14">
        <v>87</v>
      </c>
      <c r="B7" s="15">
        <v>45950</v>
      </c>
      <c r="C7" s="16" t="s">
        <v>119</v>
      </c>
      <c r="D7" s="14" cm="1">
        <f t="array" ref="D7">SUM(VALUE(SUBSTITUTE(_xlfn.TEXTAFTER(_xlfn.TEXTSPLIT(C7,CHAR(10)),"-",-1),"km","")))</f>
        <v>222</v>
      </c>
      <c r="E7" s="14">
        <f>189+3.6+39+45</f>
        <v>276.6</v>
      </c>
      <c r="F7" s="17">
        <f t="shared" si="1"/>
        <v>3.94495412844037</v>
      </c>
      <c r="G7" s="17">
        <f t="shared" si="2"/>
        <v>4.3</v>
      </c>
      <c r="H7" s="9">
        <f t="shared" si="3"/>
        <v>875.779816513761</v>
      </c>
      <c r="I7" s="9">
        <f t="shared" si="4"/>
        <v>954.6</v>
      </c>
      <c r="J7" s="9">
        <f t="shared" si="5"/>
        <v>3.5</v>
      </c>
      <c r="K7" s="9">
        <f t="shared" si="6"/>
        <v>777</v>
      </c>
      <c r="L7" s="7"/>
      <c r="M7" s="14"/>
      <c r="N7" s="14"/>
    </row>
    <row r="8" ht="57" spans="1:14">
      <c r="A8" s="14">
        <v>88</v>
      </c>
      <c r="B8" s="15">
        <v>45950</v>
      </c>
      <c r="C8" s="16" t="s">
        <v>120</v>
      </c>
      <c r="D8" s="14" cm="1">
        <f t="array" ref="D8">SUM(VALUE(SUBSTITUTE(_xlfn.TEXTAFTER(_xlfn.TEXTSPLIT(C8,CHAR(10)),"-",-1),"km","")))</f>
        <v>180.6</v>
      </c>
      <c r="E8" s="14">
        <f>160+81</f>
        <v>241</v>
      </c>
      <c r="F8" s="17">
        <f t="shared" si="1"/>
        <v>4.12844036697248</v>
      </c>
      <c r="G8" s="17">
        <f t="shared" si="2"/>
        <v>4.5</v>
      </c>
      <c r="H8" s="9">
        <f t="shared" si="3"/>
        <v>745.596330275229</v>
      </c>
      <c r="I8" s="9">
        <f t="shared" si="4"/>
        <v>812.7</v>
      </c>
      <c r="J8" s="9">
        <f t="shared" si="5"/>
        <v>3.5</v>
      </c>
      <c r="K8" s="9">
        <f t="shared" si="6"/>
        <v>632.1</v>
      </c>
      <c r="L8" s="7"/>
      <c r="M8" s="14"/>
      <c r="N8" s="14"/>
    </row>
    <row r="9" ht="85.5" spans="1:14">
      <c r="A9" s="14">
        <v>89</v>
      </c>
      <c r="B9" s="15">
        <v>45950</v>
      </c>
      <c r="C9" s="16" t="s">
        <v>121</v>
      </c>
      <c r="D9" s="14" cm="1">
        <f t="array" ref="D9">SUM(VALUE(SUBSTITUTE(_xlfn.TEXTAFTER(_xlfn.TEXTSPLIT(C9,CHAR(10)),"-",-1),"km","")))</f>
        <v>193.7</v>
      </c>
      <c r="E9" s="14">
        <f>171+34+43</f>
        <v>248</v>
      </c>
      <c r="F9" s="17">
        <f t="shared" si="1"/>
        <v>4.12844036697248</v>
      </c>
      <c r="G9" s="17">
        <f t="shared" si="2"/>
        <v>4.5</v>
      </c>
      <c r="H9" s="9">
        <f t="shared" si="3"/>
        <v>799.678899082569</v>
      </c>
      <c r="I9" s="9">
        <f t="shared" si="4"/>
        <v>871.65</v>
      </c>
      <c r="J9" s="9">
        <f t="shared" si="5"/>
        <v>3.5</v>
      </c>
      <c r="K9" s="9">
        <f t="shared" si="6"/>
        <v>677.95</v>
      </c>
      <c r="L9" s="7"/>
      <c r="M9" s="14"/>
      <c r="N9" s="14"/>
    </row>
    <row r="10" ht="28.5" spans="1:14">
      <c r="A10" s="14">
        <v>90</v>
      </c>
      <c r="B10" s="15">
        <v>45951</v>
      </c>
      <c r="C10" s="16" t="s">
        <v>122</v>
      </c>
      <c r="D10" s="14" cm="1">
        <f t="array" ref="D10">SUM(VALUE(SUBSTITUTE(_xlfn.TEXTAFTER(_xlfn.TEXTSPLIT(C10,CHAR(10)),"-",-1),"km","")))</f>
        <v>418</v>
      </c>
      <c r="E10" s="14">
        <f>180+17+59+47</f>
        <v>303</v>
      </c>
      <c r="F10" s="17">
        <f t="shared" si="1"/>
        <v>3.76146788990826</v>
      </c>
      <c r="G10" s="17">
        <f t="shared" si="2"/>
        <v>4.1</v>
      </c>
      <c r="H10" s="9">
        <f t="shared" si="3"/>
        <v>1572.29357798165</v>
      </c>
      <c r="I10" s="9">
        <f t="shared" si="4"/>
        <v>1713.8</v>
      </c>
      <c r="J10" s="9">
        <f t="shared" si="5"/>
        <v>3.2</v>
      </c>
      <c r="K10" s="9">
        <f t="shared" si="6"/>
        <v>1337.6</v>
      </c>
      <c r="L10" s="7"/>
      <c r="M10" s="14"/>
      <c r="N10" s="14"/>
    </row>
    <row r="11" ht="71.25" spans="1:14">
      <c r="A11" s="14">
        <v>91</v>
      </c>
      <c r="B11" s="15">
        <v>45951</v>
      </c>
      <c r="C11" s="16" t="s">
        <v>123</v>
      </c>
      <c r="D11" s="14" cm="1">
        <f t="array" ref="D11">SUM(VALUE(SUBSTITUTE(_xlfn.TEXTAFTER(_xlfn.TEXTSPLIT(C11,CHAR(10)),"-",-1),"km","")))</f>
        <v>355</v>
      </c>
      <c r="E11" s="14">
        <f>86+10+12+10</f>
        <v>118</v>
      </c>
      <c r="F11" s="17">
        <f t="shared" si="1"/>
        <v>3.76146788990826</v>
      </c>
      <c r="G11" s="17">
        <f t="shared" si="2"/>
        <v>4.1</v>
      </c>
      <c r="H11" s="9">
        <f t="shared" si="3"/>
        <v>1335.32110091743</v>
      </c>
      <c r="I11" s="9">
        <f t="shared" si="4"/>
        <v>1455.5</v>
      </c>
      <c r="J11" s="9">
        <f t="shared" si="5"/>
        <v>3.2</v>
      </c>
      <c r="K11" s="9">
        <f t="shared" si="6"/>
        <v>1136</v>
      </c>
      <c r="L11" s="7"/>
      <c r="M11" s="14"/>
      <c r="N11" s="14"/>
    </row>
    <row r="12" ht="71.25" spans="1:14">
      <c r="A12" s="14">
        <v>92</v>
      </c>
      <c r="B12" s="15">
        <v>45951</v>
      </c>
      <c r="C12" s="16" t="s">
        <v>124</v>
      </c>
      <c r="D12" s="14" cm="1">
        <f t="array" ref="D12">SUM(VALUE(SUBSTITUTE(_xlfn.TEXTAFTER(_xlfn.TEXTSPLIT(C12,CHAR(10)),"-",-1),"km","")))</f>
        <v>551</v>
      </c>
      <c r="E12" s="14">
        <f t="shared" ref="E12:E14" si="7">42+74+65+17</f>
        <v>198</v>
      </c>
      <c r="F12" s="17">
        <f t="shared" si="1"/>
        <v>3.76146788990826</v>
      </c>
      <c r="G12" s="17">
        <f t="shared" si="2"/>
        <v>4.1</v>
      </c>
      <c r="H12" s="9">
        <f t="shared" si="3"/>
        <v>2072.56880733945</v>
      </c>
      <c r="I12" s="9">
        <f t="shared" si="4"/>
        <v>2259.1</v>
      </c>
      <c r="J12" s="9">
        <f t="shared" si="5"/>
        <v>3.2</v>
      </c>
      <c r="K12" s="9">
        <f t="shared" si="6"/>
        <v>1763.2</v>
      </c>
      <c r="L12" s="7"/>
      <c r="M12" s="14"/>
      <c r="N12" s="14"/>
    </row>
    <row r="13" ht="85.5" spans="1:14">
      <c r="A13" s="14">
        <v>93</v>
      </c>
      <c r="B13" s="15">
        <v>45951</v>
      </c>
      <c r="C13" s="16" t="s">
        <v>125</v>
      </c>
      <c r="D13" s="14" cm="1">
        <f t="array" ref="D13">SUM(VALUE(SUBSTITUTE(_xlfn.TEXTAFTER(_xlfn.TEXTSPLIT(C13,CHAR(10)),"-",-1),"km","")))</f>
        <v>484</v>
      </c>
      <c r="E13" s="14">
        <f t="shared" si="7"/>
        <v>198</v>
      </c>
      <c r="F13" s="17">
        <f t="shared" si="1"/>
        <v>3.76146788990826</v>
      </c>
      <c r="G13" s="17">
        <f t="shared" si="2"/>
        <v>4.1</v>
      </c>
      <c r="H13" s="9">
        <f t="shared" si="3"/>
        <v>1820.5504587156</v>
      </c>
      <c r="I13" s="9">
        <f t="shared" si="4"/>
        <v>1984.4</v>
      </c>
      <c r="J13" s="9">
        <f t="shared" si="5"/>
        <v>3.2</v>
      </c>
      <c r="K13" s="9">
        <f t="shared" si="6"/>
        <v>1548.8</v>
      </c>
      <c r="L13" s="7"/>
      <c r="M13" s="14"/>
      <c r="N13" s="14"/>
    </row>
    <row r="14" ht="57" spans="1:14">
      <c r="A14" s="14">
        <v>94</v>
      </c>
      <c r="B14" s="15">
        <v>45951</v>
      </c>
      <c r="C14" s="16" t="s">
        <v>126</v>
      </c>
      <c r="D14" s="14" cm="1">
        <f t="array" ref="D14">SUM(VALUE(SUBSTITUTE(_xlfn.TEXTAFTER(_xlfn.TEXTSPLIT(C14,CHAR(10)),"-",-1),"km","")))</f>
        <v>323</v>
      </c>
      <c r="E14" s="14">
        <f t="shared" si="7"/>
        <v>198</v>
      </c>
      <c r="F14" s="17">
        <f t="shared" si="1"/>
        <v>3.76146788990826</v>
      </c>
      <c r="G14" s="17">
        <f t="shared" si="2"/>
        <v>4.1</v>
      </c>
      <c r="H14" s="9">
        <f t="shared" si="3"/>
        <v>1214.95412844037</v>
      </c>
      <c r="I14" s="9">
        <f t="shared" si="4"/>
        <v>1324.3</v>
      </c>
      <c r="J14" s="9">
        <f t="shared" si="5"/>
        <v>3.2</v>
      </c>
      <c r="K14" s="9">
        <f t="shared" si="6"/>
        <v>1033.6</v>
      </c>
      <c r="L14" s="7"/>
      <c r="M14" s="14"/>
      <c r="N14" s="14"/>
    </row>
    <row r="15" spans="1:14">
      <c r="A15" s="14">
        <v>95</v>
      </c>
      <c r="B15" s="15">
        <v>45951</v>
      </c>
      <c r="C15" s="16" t="s">
        <v>127</v>
      </c>
      <c r="D15" s="14" cm="1">
        <f t="array" ref="D15">SUM(VALUE(SUBSTITUTE(_xlfn.TEXTAFTER(_xlfn.TEXTSPLIT(C15,CHAR(10)),"-",-1),"km","")))</f>
        <v>319</v>
      </c>
      <c r="E15" s="14">
        <f>98+55+74+3.6+39+50</f>
        <v>319.6</v>
      </c>
      <c r="F15" s="17">
        <f t="shared" si="1"/>
        <v>3.76146788990826</v>
      </c>
      <c r="G15" s="17">
        <f t="shared" si="2"/>
        <v>4.1</v>
      </c>
      <c r="H15" s="9">
        <f t="shared" si="3"/>
        <v>1199.90825688073</v>
      </c>
      <c r="I15" s="9">
        <f t="shared" si="4"/>
        <v>1307.9</v>
      </c>
      <c r="J15" s="9">
        <f t="shared" si="5"/>
        <v>3.2</v>
      </c>
      <c r="K15" s="9">
        <f t="shared" si="6"/>
        <v>1020.8</v>
      </c>
      <c r="L15" s="7"/>
      <c r="M15" s="14"/>
      <c r="N15" s="14"/>
    </row>
    <row r="16" ht="57" spans="1:14">
      <c r="A16" s="14">
        <v>96</v>
      </c>
      <c r="B16" s="15">
        <v>45951</v>
      </c>
      <c r="C16" s="16" t="s">
        <v>128</v>
      </c>
      <c r="D16" s="14" cm="1">
        <f t="array" ref="D16">SUM(VALUE(SUBSTITUTE(_xlfn.TEXTAFTER(_xlfn.TEXTSPLIT(C16,CHAR(10)),"-",-1),"km","")))</f>
        <v>266</v>
      </c>
      <c r="E16" s="14">
        <f>180+16+9.5+59+47</f>
        <v>311.5</v>
      </c>
      <c r="F16" s="17">
        <f t="shared" si="1"/>
        <v>3.94495412844037</v>
      </c>
      <c r="G16" s="17">
        <f t="shared" si="2"/>
        <v>4.3</v>
      </c>
      <c r="H16" s="9">
        <f t="shared" si="3"/>
        <v>1049.35779816514</v>
      </c>
      <c r="I16" s="9">
        <f t="shared" si="4"/>
        <v>1143.8</v>
      </c>
      <c r="J16" s="9">
        <f t="shared" si="5"/>
        <v>3.5</v>
      </c>
      <c r="K16" s="9">
        <f t="shared" si="6"/>
        <v>931</v>
      </c>
      <c r="L16" s="7"/>
      <c r="M16" s="14"/>
      <c r="N16" s="14"/>
    </row>
    <row r="17" ht="14" customHeight="1" spans="1:14">
      <c r="A17" s="14">
        <v>97</v>
      </c>
      <c r="B17" s="15"/>
      <c r="C17" s="16"/>
      <c r="D17" s="14" t="e" cm="1">
        <f t="array" ref="D17">SUM(VALUE(SUBSTITUTE(_xlfn.TEXTAFTER(_xlfn.TEXTSPLIT(C17,CHAR(10)),"-",-1),"km","")))</f>
        <v>#VALUE!</v>
      </c>
      <c r="E17" s="14">
        <f>120+109+53+32</f>
        <v>314</v>
      </c>
      <c r="F17" s="17" t="e">
        <f t="shared" si="1"/>
        <v>#VALUE!</v>
      </c>
      <c r="G17" s="17" t="e">
        <f t="shared" si="2"/>
        <v>#VALUE!</v>
      </c>
      <c r="H17" s="9" t="e">
        <f t="shared" si="3"/>
        <v>#VALUE!</v>
      </c>
      <c r="I17" s="9" t="e">
        <f t="shared" si="4"/>
        <v>#VALUE!</v>
      </c>
      <c r="J17" s="9" t="e">
        <f t="shared" si="5"/>
        <v>#VALUE!</v>
      </c>
      <c r="K17" s="9" t="e">
        <f t="shared" si="6"/>
        <v>#VALUE!</v>
      </c>
      <c r="L17" s="7"/>
      <c r="M17" s="14"/>
      <c r="N17" s="14"/>
    </row>
    <row r="18" spans="1:14">
      <c r="A18" s="14">
        <v>98</v>
      </c>
      <c r="B18" s="15"/>
      <c r="C18" s="16"/>
      <c r="D18" s="14" t="e" cm="1">
        <f t="array" ref="D18">SUM(VALUE(SUBSTITUTE(_xlfn.TEXTAFTER(_xlfn.TEXTSPLIT(C18,CHAR(10)),"-",-1),"km","")))</f>
        <v>#VALUE!</v>
      </c>
      <c r="E18" s="14">
        <f>169+1.5+39+17+4.6</f>
        <v>231.1</v>
      </c>
      <c r="F18" s="17" t="e">
        <f t="shared" si="1"/>
        <v>#VALUE!</v>
      </c>
      <c r="G18" s="17" t="e">
        <f t="shared" si="2"/>
        <v>#VALUE!</v>
      </c>
      <c r="H18" s="9" t="e">
        <f t="shared" si="3"/>
        <v>#VALUE!</v>
      </c>
      <c r="I18" s="9" t="e">
        <f t="shared" si="4"/>
        <v>#VALUE!</v>
      </c>
      <c r="J18" s="9" t="e">
        <f t="shared" si="5"/>
        <v>#VALUE!</v>
      </c>
      <c r="K18" s="9" t="e">
        <f t="shared" si="6"/>
        <v>#VALUE!</v>
      </c>
      <c r="L18" s="7"/>
      <c r="M18" s="14"/>
      <c r="N18" s="14"/>
    </row>
    <row r="19" spans="1:14">
      <c r="A19" s="14">
        <v>99</v>
      </c>
      <c r="B19" s="15"/>
      <c r="C19" s="16"/>
      <c r="D19" s="14" t="e" cm="1">
        <f t="array" ref="D19">SUM(VALUE(SUBSTITUTE(_xlfn.TEXTAFTER(_xlfn.TEXTSPLIT(C19,CHAR(10)),"-",-1),"km","")))</f>
        <v>#VALUE!</v>
      </c>
      <c r="E19" s="14">
        <f t="shared" ref="E19:E34" si="8">35+67+10+12+10+6</f>
        <v>140</v>
      </c>
      <c r="F19" s="17" t="e">
        <f t="shared" si="1"/>
        <v>#VALUE!</v>
      </c>
      <c r="G19" s="17" t="e">
        <f t="shared" si="2"/>
        <v>#VALUE!</v>
      </c>
      <c r="H19" s="9" t="e">
        <f t="shared" si="3"/>
        <v>#VALUE!</v>
      </c>
      <c r="I19" s="9" t="e">
        <f t="shared" si="4"/>
        <v>#VALUE!</v>
      </c>
      <c r="J19" s="9" t="e">
        <f t="shared" si="5"/>
        <v>#VALUE!</v>
      </c>
      <c r="K19" s="9" t="e">
        <f t="shared" si="6"/>
        <v>#VALUE!</v>
      </c>
      <c r="L19" s="7"/>
      <c r="M19" s="14"/>
      <c r="N19" s="14"/>
    </row>
    <row r="20" spans="1:14">
      <c r="A20" s="14">
        <v>100</v>
      </c>
      <c r="B20" s="15"/>
      <c r="C20" s="16"/>
      <c r="D20" s="14" t="e" cm="1">
        <f t="array" ref="D20">SUM(VALUE(SUBSTITUTE(_xlfn.TEXTAFTER(_xlfn.TEXTSPLIT(C20,CHAR(10)),"-",-1),"km","")))</f>
        <v>#VALUE!</v>
      </c>
      <c r="E20" s="14">
        <f t="shared" si="8"/>
        <v>140</v>
      </c>
      <c r="F20" s="17" t="e">
        <f t="shared" si="1"/>
        <v>#VALUE!</v>
      </c>
      <c r="G20" s="17" t="e">
        <f t="shared" si="2"/>
        <v>#VALUE!</v>
      </c>
      <c r="H20" s="9" t="e">
        <f t="shared" si="3"/>
        <v>#VALUE!</v>
      </c>
      <c r="I20" s="9" t="e">
        <f t="shared" si="4"/>
        <v>#VALUE!</v>
      </c>
      <c r="J20" s="9" t="e">
        <f t="shared" si="5"/>
        <v>#VALUE!</v>
      </c>
      <c r="K20" s="9" t="e">
        <f t="shared" si="6"/>
        <v>#VALUE!</v>
      </c>
      <c r="L20" s="7"/>
      <c r="M20" s="14"/>
      <c r="N20" s="14"/>
    </row>
    <row r="21" spans="1:14">
      <c r="A21" s="14">
        <v>101</v>
      </c>
      <c r="B21" s="15"/>
      <c r="C21" s="16"/>
      <c r="D21" s="14" t="e" cm="1">
        <f t="array" ref="D21">SUM(VALUE(SUBSTITUTE(_xlfn.TEXTAFTER(_xlfn.TEXTSPLIT(C21,CHAR(10)),"-",-1),"km","")))</f>
        <v>#VALUE!</v>
      </c>
      <c r="E21" s="14">
        <f t="shared" si="8"/>
        <v>140</v>
      </c>
      <c r="F21" s="17" t="e">
        <f t="shared" si="1"/>
        <v>#VALUE!</v>
      </c>
      <c r="G21" s="17" t="e">
        <f t="shared" si="2"/>
        <v>#VALUE!</v>
      </c>
      <c r="H21" s="9" t="e">
        <f t="shared" si="3"/>
        <v>#VALUE!</v>
      </c>
      <c r="I21" s="9" t="e">
        <f t="shared" si="4"/>
        <v>#VALUE!</v>
      </c>
      <c r="J21" s="9" t="e">
        <f t="shared" si="5"/>
        <v>#VALUE!</v>
      </c>
      <c r="K21" s="9" t="e">
        <f t="shared" si="6"/>
        <v>#VALUE!</v>
      </c>
      <c r="L21" s="7"/>
      <c r="M21" s="14"/>
      <c r="N21" s="14"/>
    </row>
    <row r="22" spans="1:14">
      <c r="A22" s="14">
        <v>102</v>
      </c>
      <c r="B22" s="15"/>
      <c r="C22" s="16"/>
      <c r="D22" s="14" t="e" cm="1">
        <f t="array" ref="D22">SUM(VALUE(SUBSTITUTE(_xlfn.TEXTAFTER(_xlfn.TEXTSPLIT(C22,CHAR(10)),"-",-1),"km","")))</f>
        <v>#VALUE!</v>
      </c>
      <c r="E22" s="14">
        <f t="shared" si="8"/>
        <v>140</v>
      </c>
      <c r="F22" s="17" t="e">
        <f t="shared" si="1"/>
        <v>#VALUE!</v>
      </c>
      <c r="G22" s="17" t="e">
        <f t="shared" si="2"/>
        <v>#VALUE!</v>
      </c>
      <c r="H22" s="9" t="e">
        <f t="shared" si="3"/>
        <v>#VALUE!</v>
      </c>
      <c r="I22" s="9" t="e">
        <f t="shared" si="4"/>
        <v>#VALUE!</v>
      </c>
      <c r="J22" s="9" t="e">
        <f t="shared" si="5"/>
        <v>#VALUE!</v>
      </c>
      <c r="K22" s="9" t="e">
        <f t="shared" si="6"/>
        <v>#VALUE!</v>
      </c>
      <c r="L22" s="7"/>
      <c r="M22" s="14"/>
      <c r="N22" s="14"/>
    </row>
    <row r="23" spans="1:14">
      <c r="A23" s="14">
        <v>103</v>
      </c>
      <c r="B23" s="15"/>
      <c r="C23" s="16"/>
      <c r="D23" s="14" t="e" cm="1">
        <f t="array" ref="D23">SUM(VALUE(SUBSTITUTE(_xlfn.TEXTAFTER(_xlfn.TEXTSPLIT(C23,CHAR(10)),"-",-1),"km","")))</f>
        <v>#VALUE!</v>
      </c>
      <c r="E23" s="14">
        <f t="shared" si="8"/>
        <v>140</v>
      </c>
      <c r="F23" s="17" t="e">
        <f t="shared" si="1"/>
        <v>#VALUE!</v>
      </c>
      <c r="G23" s="17" t="e">
        <f t="shared" si="2"/>
        <v>#VALUE!</v>
      </c>
      <c r="H23" s="9" t="e">
        <f t="shared" si="3"/>
        <v>#VALUE!</v>
      </c>
      <c r="I23" s="9" t="e">
        <f t="shared" si="4"/>
        <v>#VALUE!</v>
      </c>
      <c r="J23" s="9" t="e">
        <f t="shared" si="5"/>
        <v>#VALUE!</v>
      </c>
      <c r="K23" s="9" t="e">
        <f t="shared" si="6"/>
        <v>#VALUE!</v>
      </c>
      <c r="L23" s="7"/>
      <c r="M23" s="14"/>
      <c r="N23" s="14"/>
    </row>
    <row r="24" spans="1:14">
      <c r="A24" s="14">
        <v>104</v>
      </c>
      <c r="B24" s="15"/>
      <c r="C24" s="16"/>
      <c r="D24" s="14" t="e" cm="1">
        <f t="array" ref="D24">SUM(VALUE(SUBSTITUTE(_xlfn.TEXTAFTER(_xlfn.TEXTSPLIT(C24,CHAR(10)),"-",-1),"km","")))</f>
        <v>#VALUE!</v>
      </c>
      <c r="E24" s="14">
        <f t="shared" si="8"/>
        <v>140</v>
      </c>
      <c r="F24" s="17" t="e">
        <f t="shared" si="1"/>
        <v>#VALUE!</v>
      </c>
      <c r="G24" s="17" t="e">
        <f t="shared" si="2"/>
        <v>#VALUE!</v>
      </c>
      <c r="H24" s="9" t="e">
        <f t="shared" si="3"/>
        <v>#VALUE!</v>
      </c>
      <c r="I24" s="9" t="e">
        <f t="shared" si="4"/>
        <v>#VALUE!</v>
      </c>
      <c r="J24" s="9" t="e">
        <f t="shared" si="5"/>
        <v>#VALUE!</v>
      </c>
      <c r="K24" s="9" t="e">
        <f t="shared" si="6"/>
        <v>#VALUE!</v>
      </c>
      <c r="L24" s="7"/>
      <c r="M24" s="14"/>
      <c r="N24" s="14"/>
    </row>
    <row r="25" spans="1:14">
      <c r="A25" s="14">
        <v>105</v>
      </c>
      <c r="B25" s="15"/>
      <c r="C25" s="16"/>
      <c r="D25" s="14" t="e" cm="1">
        <f t="array" ref="D25">SUM(VALUE(SUBSTITUTE(_xlfn.TEXTAFTER(_xlfn.TEXTSPLIT(C25,CHAR(10)),"-",-1),"km","")))</f>
        <v>#VALUE!</v>
      </c>
      <c r="E25" s="14">
        <f t="shared" si="8"/>
        <v>140</v>
      </c>
      <c r="F25" s="17" t="e">
        <f t="shared" si="1"/>
        <v>#VALUE!</v>
      </c>
      <c r="G25" s="17" t="e">
        <f t="shared" si="2"/>
        <v>#VALUE!</v>
      </c>
      <c r="H25" s="9" t="e">
        <f t="shared" si="3"/>
        <v>#VALUE!</v>
      </c>
      <c r="I25" s="9" t="e">
        <f t="shared" si="4"/>
        <v>#VALUE!</v>
      </c>
      <c r="J25" s="9" t="e">
        <f t="shared" si="5"/>
        <v>#VALUE!</v>
      </c>
      <c r="K25" s="9" t="e">
        <f t="shared" si="6"/>
        <v>#VALUE!</v>
      </c>
      <c r="L25" s="7"/>
      <c r="M25" s="14"/>
      <c r="N25" s="14"/>
    </row>
    <row r="26" spans="1:14">
      <c r="A26" s="14">
        <v>106</v>
      </c>
      <c r="B26" s="15"/>
      <c r="C26" s="16"/>
      <c r="D26" s="14" t="e" cm="1">
        <f t="array" ref="D26">SUM(VALUE(SUBSTITUTE(_xlfn.TEXTAFTER(_xlfn.TEXTSPLIT(C26,CHAR(10)),"-",-1),"km","")))</f>
        <v>#VALUE!</v>
      </c>
      <c r="E26" s="14">
        <f t="shared" si="8"/>
        <v>140</v>
      </c>
      <c r="F26" s="17" t="e">
        <f t="shared" si="1"/>
        <v>#VALUE!</v>
      </c>
      <c r="G26" s="17" t="e">
        <f t="shared" si="2"/>
        <v>#VALUE!</v>
      </c>
      <c r="H26" s="9" t="e">
        <f t="shared" si="3"/>
        <v>#VALUE!</v>
      </c>
      <c r="I26" s="9" t="e">
        <f t="shared" si="4"/>
        <v>#VALUE!</v>
      </c>
      <c r="J26" s="9" t="e">
        <f t="shared" si="5"/>
        <v>#VALUE!</v>
      </c>
      <c r="K26" s="9" t="e">
        <f t="shared" si="6"/>
        <v>#VALUE!</v>
      </c>
      <c r="L26" s="7"/>
      <c r="M26" s="14"/>
      <c r="N26" s="14"/>
    </row>
    <row r="27" spans="1:14">
      <c r="A27" s="14">
        <v>107</v>
      </c>
      <c r="B27" s="15"/>
      <c r="C27" s="16"/>
      <c r="D27" s="14" t="e" cm="1">
        <f t="array" ref="D27">SUM(VALUE(SUBSTITUTE(_xlfn.TEXTAFTER(_xlfn.TEXTSPLIT(C27,CHAR(10)),"-",-1),"km","")))</f>
        <v>#VALUE!</v>
      </c>
      <c r="E27" s="14">
        <f t="shared" si="8"/>
        <v>140</v>
      </c>
      <c r="F27" s="17" t="e">
        <f t="shared" si="1"/>
        <v>#VALUE!</v>
      </c>
      <c r="G27" s="17" t="e">
        <f t="shared" si="2"/>
        <v>#VALUE!</v>
      </c>
      <c r="H27" s="9" t="e">
        <f t="shared" si="3"/>
        <v>#VALUE!</v>
      </c>
      <c r="I27" s="9" t="e">
        <f t="shared" si="4"/>
        <v>#VALUE!</v>
      </c>
      <c r="J27" s="9" t="e">
        <f t="shared" si="5"/>
        <v>#VALUE!</v>
      </c>
      <c r="K27" s="9" t="e">
        <f t="shared" si="6"/>
        <v>#VALUE!</v>
      </c>
      <c r="L27" s="7"/>
      <c r="M27" s="14"/>
      <c r="N27" s="14"/>
    </row>
    <row r="28" spans="1:14">
      <c r="A28" s="14">
        <v>108</v>
      </c>
      <c r="B28" s="15"/>
      <c r="C28" s="16"/>
      <c r="D28" s="14" t="e" cm="1">
        <f t="array" ref="D28">SUM(VALUE(SUBSTITUTE(_xlfn.TEXTAFTER(_xlfn.TEXTSPLIT(C28,CHAR(10)),"-",-1),"km","")))</f>
        <v>#VALUE!</v>
      </c>
      <c r="E28" s="14">
        <f t="shared" si="8"/>
        <v>140</v>
      </c>
      <c r="F28" s="17" t="e">
        <f t="shared" si="1"/>
        <v>#VALUE!</v>
      </c>
      <c r="G28" s="17" t="e">
        <f t="shared" ref="G28:G34" si="9">IF(D28&gt;=301,4.1,IF(D28&gt;=201,4.3,IF(D28&gt;=101,4.5,"")))</f>
        <v>#VALUE!</v>
      </c>
      <c r="H28" s="9" t="e">
        <f t="shared" si="3"/>
        <v>#VALUE!</v>
      </c>
      <c r="I28" s="9" t="e">
        <f t="shared" si="4"/>
        <v>#VALUE!</v>
      </c>
      <c r="J28" s="9" t="e">
        <f t="shared" ref="J28:J34" si="10">IF(D28&gt;=301,3.2,IF(D28&gt;=201,3.5,IF(D28&gt;=101,3.5,"")))</f>
        <v>#VALUE!</v>
      </c>
      <c r="K28" s="9" t="e">
        <f t="shared" si="6"/>
        <v>#VALUE!</v>
      </c>
      <c r="L28" s="7"/>
      <c r="M28" s="14"/>
      <c r="N28" s="14"/>
    </row>
    <row r="29" spans="1:14">
      <c r="A29" s="14">
        <v>109</v>
      </c>
      <c r="B29" s="15"/>
      <c r="C29" s="16"/>
      <c r="D29" s="14" t="e" cm="1">
        <f t="array" ref="D29">SUM(VALUE(SUBSTITUTE(_xlfn.TEXTAFTER(_xlfn.TEXTSPLIT(C29,CHAR(10)),"-",-1),"km","")))</f>
        <v>#VALUE!</v>
      </c>
      <c r="E29" s="14">
        <f t="shared" si="8"/>
        <v>140</v>
      </c>
      <c r="F29" s="17" t="e">
        <f t="shared" si="1"/>
        <v>#VALUE!</v>
      </c>
      <c r="G29" s="17" t="e">
        <f t="shared" si="9"/>
        <v>#VALUE!</v>
      </c>
      <c r="H29" s="9" t="e">
        <f t="shared" si="3"/>
        <v>#VALUE!</v>
      </c>
      <c r="I29" s="9" t="e">
        <f t="shared" si="4"/>
        <v>#VALUE!</v>
      </c>
      <c r="J29" s="9" t="e">
        <f t="shared" si="10"/>
        <v>#VALUE!</v>
      </c>
      <c r="K29" s="9" t="e">
        <f t="shared" si="6"/>
        <v>#VALUE!</v>
      </c>
      <c r="L29" s="7"/>
      <c r="M29" s="14"/>
      <c r="N29" s="14"/>
    </row>
    <row r="30" spans="1:14">
      <c r="A30" s="14">
        <v>110</v>
      </c>
      <c r="B30" s="15"/>
      <c r="C30" s="16"/>
      <c r="D30" s="14" t="e" cm="1">
        <f t="array" ref="D30">SUM(VALUE(SUBSTITUTE(_xlfn.TEXTAFTER(_xlfn.TEXTSPLIT(C30,CHAR(10)),"-",-1),"km","")))</f>
        <v>#VALUE!</v>
      </c>
      <c r="E30" s="14">
        <f t="shared" si="8"/>
        <v>140</v>
      </c>
      <c r="F30" s="17" t="e">
        <f t="shared" si="1"/>
        <v>#VALUE!</v>
      </c>
      <c r="G30" s="17" t="e">
        <f t="shared" si="9"/>
        <v>#VALUE!</v>
      </c>
      <c r="H30" s="9" t="e">
        <f t="shared" si="3"/>
        <v>#VALUE!</v>
      </c>
      <c r="I30" s="9" t="e">
        <f t="shared" si="4"/>
        <v>#VALUE!</v>
      </c>
      <c r="J30" s="9" t="e">
        <f t="shared" si="10"/>
        <v>#VALUE!</v>
      </c>
      <c r="K30" s="9" t="e">
        <f t="shared" si="6"/>
        <v>#VALUE!</v>
      </c>
      <c r="L30" s="7"/>
      <c r="M30" s="14"/>
      <c r="N30" s="14"/>
    </row>
    <row r="31" spans="1:14">
      <c r="A31" s="14">
        <v>111</v>
      </c>
      <c r="B31" s="15"/>
      <c r="C31" s="16"/>
      <c r="D31" s="14" t="e" cm="1">
        <f t="array" ref="D31">SUM(VALUE(SUBSTITUTE(_xlfn.TEXTAFTER(_xlfn.TEXTSPLIT(C31,CHAR(10)),"-",-1),"km","")))</f>
        <v>#VALUE!</v>
      </c>
      <c r="E31" s="14">
        <f t="shared" si="8"/>
        <v>140</v>
      </c>
      <c r="F31" s="17" t="e">
        <f t="shared" si="1"/>
        <v>#VALUE!</v>
      </c>
      <c r="G31" s="17" t="e">
        <f t="shared" si="9"/>
        <v>#VALUE!</v>
      </c>
      <c r="H31" s="9" t="e">
        <f t="shared" si="3"/>
        <v>#VALUE!</v>
      </c>
      <c r="I31" s="9" t="e">
        <f t="shared" si="4"/>
        <v>#VALUE!</v>
      </c>
      <c r="J31" s="9" t="e">
        <f t="shared" si="10"/>
        <v>#VALUE!</v>
      </c>
      <c r="K31" s="9" t="e">
        <f t="shared" si="6"/>
        <v>#VALUE!</v>
      </c>
      <c r="L31" s="7"/>
      <c r="M31" s="14"/>
      <c r="N31" s="14"/>
    </row>
    <row r="32" spans="1:14">
      <c r="A32" s="14">
        <v>112</v>
      </c>
      <c r="B32" s="15"/>
      <c r="C32" s="16"/>
      <c r="D32" s="14" t="e" cm="1">
        <f t="array" ref="D32">SUM(VALUE(SUBSTITUTE(_xlfn.TEXTAFTER(_xlfn.TEXTSPLIT(C32,CHAR(10)),"-",-1),"km","")))</f>
        <v>#VALUE!</v>
      </c>
      <c r="E32" s="14">
        <f t="shared" si="8"/>
        <v>140</v>
      </c>
      <c r="F32" s="17" t="e">
        <f t="shared" si="1"/>
        <v>#VALUE!</v>
      </c>
      <c r="G32" s="17" t="e">
        <f t="shared" si="9"/>
        <v>#VALUE!</v>
      </c>
      <c r="H32" s="9" t="e">
        <f t="shared" si="3"/>
        <v>#VALUE!</v>
      </c>
      <c r="I32" s="9" t="e">
        <f t="shared" si="4"/>
        <v>#VALUE!</v>
      </c>
      <c r="J32" s="9" t="e">
        <f t="shared" si="10"/>
        <v>#VALUE!</v>
      </c>
      <c r="K32" s="9" t="e">
        <f t="shared" si="6"/>
        <v>#VALUE!</v>
      </c>
      <c r="L32" s="7"/>
      <c r="M32" s="14"/>
      <c r="N32" s="14"/>
    </row>
    <row r="33" spans="1:14">
      <c r="A33" s="14">
        <v>113</v>
      </c>
      <c r="B33" s="15"/>
      <c r="C33" s="16"/>
      <c r="D33" s="14" t="e" cm="1">
        <f t="array" ref="D33">SUM(VALUE(SUBSTITUTE(_xlfn.TEXTAFTER(_xlfn.TEXTSPLIT(C33,CHAR(10)),"-",-1),"km","")))</f>
        <v>#VALUE!</v>
      </c>
      <c r="E33" s="14">
        <f t="shared" si="8"/>
        <v>140</v>
      </c>
      <c r="F33" s="17" t="e">
        <f t="shared" si="1"/>
        <v>#VALUE!</v>
      </c>
      <c r="G33" s="17" t="e">
        <f t="shared" si="9"/>
        <v>#VALUE!</v>
      </c>
      <c r="H33" s="9" t="e">
        <f t="shared" si="3"/>
        <v>#VALUE!</v>
      </c>
      <c r="I33" s="9" t="e">
        <f t="shared" si="4"/>
        <v>#VALUE!</v>
      </c>
      <c r="J33" s="9" t="e">
        <f t="shared" si="10"/>
        <v>#VALUE!</v>
      </c>
      <c r="K33" s="9" t="e">
        <f t="shared" si="6"/>
        <v>#VALUE!</v>
      </c>
      <c r="L33" s="7"/>
      <c r="M33" s="14"/>
      <c r="N33" s="14"/>
    </row>
    <row r="34" spans="1:14">
      <c r="A34" s="14">
        <v>114</v>
      </c>
      <c r="B34" s="15"/>
      <c r="C34" s="16"/>
      <c r="D34" s="14" t="e" cm="1">
        <f t="array" ref="D34">SUM(VALUE(SUBSTITUTE(_xlfn.TEXTAFTER(_xlfn.TEXTSPLIT(C34,CHAR(10)),"-",-1),"km","")))</f>
        <v>#VALUE!</v>
      </c>
      <c r="E34" s="14">
        <f t="shared" si="8"/>
        <v>140</v>
      </c>
      <c r="F34" s="17" t="e">
        <f t="shared" si="1"/>
        <v>#VALUE!</v>
      </c>
      <c r="G34" s="17" t="e">
        <f t="shared" si="9"/>
        <v>#VALUE!</v>
      </c>
      <c r="H34" s="9" t="e">
        <f t="shared" si="3"/>
        <v>#VALUE!</v>
      </c>
      <c r="I34" s="9" t="e">
        <f t="shared" si="4"/>
        <v>#VALUE!</v>
      </c>
      <c r="J34" s="9" t="e">
        <f t="shared" si="10"/>
        <v>#VALUE!</v>
      </c>
      <c r="K34" s="9" t="e">
        <f t="shared" si="6"/>
        <v>#VALUE!</v>
      </c>
      <c r="L34" s="7"/>
      <c r="M34" s="14"/>
      <c r="N34" s="14"/>
    </row>
  </sheetData>
  <autoFilter xmlns:etc="http://www.wps.cn/officeDocument/2017/etCustomData" ref="A1:R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(3)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2025-07-01T12:54:00Z</dcterms:created>
  <dcterms:modified xsi:type="dcterms:W3CDTF">2025-12-01T15:05:25Z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BF9BB876009F43EA88AC294DF1BA5972_13</vt:lpwstr>
  </property>
  <property fmtid="{D5CDD505-2E9C-101B-9397-08002B2CF9AE}" pid="3" name="KSOProductBuildVer">
    <vt:lpwstr>2052-12.1.0.23542</vt:lpwstr>
  </property>
</Properties>
</file>