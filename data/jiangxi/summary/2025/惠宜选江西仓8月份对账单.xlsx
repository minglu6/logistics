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3)" sheetId="1" r:id="rId1"/>
  </sheets>
  <definedNames>
    <definedName name="_xlnm._FilterDatabase" localSheetId="0" hidden="1">'Sheet1 (3)'!$A$1:$R$100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<sst xmlns="http://schemas.openxmlformats.org/spreadsheetml/2006/main" count="120" uniqueCount="118">
  <si>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</si>
  <si>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</si>
  <si>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</si>
  <si>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</si>
  <si>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</si>
  <si>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</si>
  <si>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</si>
  <si>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</si>
  <si>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司机单价</t>
  </si>
  <si>
    <t>司机价格</t>
  </si>
  <si>
    <t>司机姓名</t>
  </si>
  <si>
    <t>照片</t>
  </si>
  <si>
    <t>备注</t>
  </si>
  <si>
    <t>共橙-站式超市(南昌明月山大道店)-7.7km
共橙-站式超市(南昌东祥路店)-31km
共橙-站式超市(丰城紫云南大道店)-64km
共橙-站式超市(樟树药都路店)-28km
共橙-站式超市(新余抱石大道店)-76km
共橙一站式超市(新余市青年路店)-5.5km
共橙-站式超市(分宜县天工南大道店)-28km</t>
  </si>
  <si>
    <t>共橙-站式超市(南昌明月山大道店)-7.7km
共橙一站式超市(南昌招贤大道店)-13km
共橙-站式超市(南昌经开区庐山南大道店)-15km
共橙-站式超市(南昌解放西路店)-52km
共橙一站式超市(进贤昌盛路店)-58km
共橙一站式超市(鹰潭五洲路店)-88km
共橙-站式超市(贵溪雄石东路店)-27km</t>
  </si>
  <si>
    <t>共橙-站式超市(奉新县迎宾大道店)-45km
共橙-站式超市(高安瑞阳大道店)-38km
厉臣-宜春市上高店-54km
共橙-站式超市(宜丰县新昌中路店)-24km
共橙一站式超市(万载县康乐大道店)-56km
共橙-站式超市(宜春文体路店)-45km
惠宜选-江西宜春中山西路店-5.3km
惠宜选-萍乡金三角店-61km</t>
  </si>
  <si>
    <t>共橙一站式超市(抚州玉茗路店)-123km
共橙一站式超市(崇仁站前路店)-34km
共橙-站式超市(南城登高路店)-83km
共橙一站式超市(黎川杏林路店)-61km
共橙-站式超市(南丰南广路店)-56km
共橙-站式超市(宁都县登峰大道店)-108km
共橙一站式超市(于都杨公路店)-93km</t>
  </si>
  <si>
    <t>共橙一站式超市(南昌小洲路店)-36km
共橙一站式超市(东乡求学路店)-99km
惠宜选超市(弋阳县梅山路店)-101km
共橙-站式超市(铅山狮江大道店)-34km
惠宜选-上饶吾悦广场店-40km
共橙超市-上饶胜利路店-6.4km
惠宜选-上饶广丰店-27km
共橙一站式超市(玉山三清大道店)-34km</t>
  </si>
  <si>
    <t>共橙超市-南昌东湖店-46km
共橙一站式超市(鄱阳锦宇大道店)-127km
共橙一站式超市(景德镇紫晶路店)-83km
共橙-站式超市(景德镇翠云路店)-10km
共橙-站式超市(浮梁县新昌北路店)-16km</t>
  </si>
  <si>
    <t>共橙站式超市 (南昌招贤大道店)-16km
共橙-站式超市(南昌长富大道店)-7.7km
共橙超市-南昌东湖店-58km
共橙一站式超市(南昌京东大道店)-9.1km
共橙一站式超市(南昌解放西路店)-9.8km
共橙-站式超市(南昌小洲路店)-16km
共橙-站式超市(进贤昌盛路店)-59km</t>
  </si>
  <si>
    <t>共橙站式超市 (南昌招贤大道店)-16km
厉臣-宜春市上高店-118km
共橙一站式超市(宜丰县新昌中路店)-24km
共橙一站式超市(万载县康乐大道店)-59km
共橙-站式超市(宜春文体路店)-45km
惠宜选-江西宜春中山西路店-5km</t>
  </si>
  <si>
    <t>共橙-站式超市(丰城紫云南大道店)-63km
共橙一站式超市(樟树药都路店)-28km
共橙一站式超市(新余抱石大道店)-76km
共橙一站式超市(新余市青年路店)-5.5km</t>
  </si>
  <si>
    <t>共橙-站式超市(九江八里湖大道店)-141km
共橙-站式超市(九江花溪路店)-6.4km
共橙一站式超市(湖口渊明路店)-34km
厉臣便利(彭泽县龙兴路店)-34km</t>
  </si>
  <si>
    <t>共橙-站式超市(南昌经开区庐山南大道店)-26km
共橙-站式超市(共青城南湖大道店)-68km
共橙-站式超市(庐山玉帘路店)-51km
厉臣-九江市都昌东风大道店-48km</t>
  </si>
  <si>
    <t>共橙-站式超市(新干县金川大道店)-120km
共橙一站式超市(吉水万里大道店)-65km
共橙-站式超市(吉安田侯路店)-24km
共橙一站式超市(吉安县赣江大道店)-11km
共橙-站式超市(泰和澄江大道店)-29km
共橙-站式超市(永新湘赣大道店)-89km</t>
  </si>
  <si>
    <t>共橙一站式超市(抚州金巢大道店)-120km
共橙一站式超市(南城登高路店)-57km
共橙一站式超市(南丰南广路店)-45km
共橙一站式超市(黎川杏林路店)-56km</t>
  </si>
  <si>
    <t>共橙-站式超市(东乡求学路店)-116km
共橙一站式超市(抚州迎宾大道店)-54km
共橙-站式超市(抚州玉茗路店)-6.4km
共橙一站式超市(崇仁站前路店)-34km</t>
  </si>
  <si>
    <t>共橙-站式超市(南昌迎宾中大道店)-41km
惠宜选-上饶吾悦广场店-238km
共橙超市-上饶胜利路店-7.1km
惠宜选-上饶广丰店-27km
共橙一站式超市(玉山三清大道店)-34km</t>
  </si>
  <si>
    <t>共橙-站式超市(景德镇紫晶路店)-223km
共橙-站式超市(浮梁县新昌北路店)-24km</t>
  </si>
  <si>
    <t>共橙一站式超市(南昌长富大道店)-20km
共橙-站式超市(德兴滨河大道店)-222km
惠宜选-江西上饶市婺源店-62km</t>
  </si>
  <si>
    <t>共橙一站式超市(南昌明月山大道店)-7.7km
共橙-站式超市(丰城紫云南大道店)-62km
共橙一站式超市(樟树药都路店)-28km
共橙-站式超市(新余抱石大道店)-76km
共橙一站式超市(新余市青年路店)-5.5km
共橙-站式超市(分宜县天工南大道店)-28km</t>
  </si>
  <si>
    <t>共橙-站式超市(安义学府大道店)-42km
共橙-站式超市(九江八里湖大道店)-119km
共橙一站式超市(九江花溪路店)-6.4km
共橙-站式超市(九江浔阳东路店)-10km
共橙一站式超市(湖口渊明路店)-28km
厉臣便利-(彭泽县龙兴路店)-34km</t>
  </si>
  <si>
    <t>共橙-站式超市(南昌东祥路店)-32km
共橙一站式超市(进贤昌盛路店)-63km
共橙一站式超市(鹰潭五洲路店)-88km
共橙-站式超市(贵溪雄石东路店)-27km</t>
  </si>
  <si>
    <t>共橙一站式超市(南昌京东大道店)-60km
共橙一站式超市(崇仁站前路店)-153km
共橙-站式超市(抚州乐安大道店)-60km
共橙一站式超市(吉安青原大道店)-97km</t>
  </si>
  <si>
    <t>共橙-站式超市(南昌迎宾中大道店)-41km
惠宜选-上饶吾悦广场店-238km
共橙超市-上饶胜利路店-7.1km
惠宜选-上饶广丰店-27km
共橙-站式超市(玉山三清大道店)-34km</t>
  </si>
  <si>
    <t>共橙一站式超市(南昌东祥路店)-32km
共橙-站式超市(南昌小洲路店)-5.2km
共橙-站式超市(南昌解放西路店)-27km
共橙-站式超市(进贤昌盛路店)-58km
共橙一站式超市(东乡求学路店)-41km
惠宜选超市(弋阳县梅山路店)-101km
共橙-站式超市(铅山狮江大道店)-34km</t>
  </si>
  <si>
    <t>共橙一站式超市( 景德镇紫晶路店)-223km
共橙-站式超市( 景德镇翠云路店)-10km
共橙一站式超市(浮梁县新昌北路店)-16km</t>
  </si>
  <si>
    <t>共橙一站式超市(南昌明月山大道店)-7.7km
惠宜选超市(高安沿江中路店)-48km
厉臣-宜春市上高店-55km
共橙-站式超市(宜丰县新昌中路店)-24km</t>
  </si>
  <si>
    <t>共橙-站式超市(共青城南湖大道店)-90km
惠宜选-九江市柴桑店-54km
共橙一站式超市(瑞昌赤乌大道店)-35km</t>
  </si>
  <si>
    <t>共橙-站式超市(奉新县迎宾大道店)-45km
共橙-站式超市(永修建昌大道店)-68km
共橙一站式超市(德安宝塔大道店)-48km
共橙一站式超市(庐山玉帘路店)-46km
厉臣-九江市都昌东风大道店-48km</t>
  </si>
  <si>
    <t>共橙一站式超市(南昌招贤大道店)-16km
共橙- 站式超市(南昌经开区庐山南大道店)-14km
共橙一站式超市(南昌解放西路店)-56km
共橙-站式超市(进贤昌盛路店)-58km
共橙一站式超市(鹰潭五洲路店)-88km
共橙一站式超市(贵溪雄石东路店)-24km</t>
  </si>
  <si>
    <t>共橙超市-抚州市金溪县秀谷大道店-168km</t>
  </si>
  <si>
    <t>共橙一站式超市(抚州金巢大道店)-120km
共橙-站式超市(抚州迎宾大道店)-3.4km
共橙-站式超市(南城登高路店)-57km
共橙-站式超市(南丰南广路店)-44km
共橙-站式超市(黎川杏林路店)-55km</t>
  </si>
  <si>
    <t>共橙一站式超市(南昌明月山大道店)-7.7km
惠宜选超市(弋阳县梅山路店)-206km
共橙一站式超市(铅山狮江大道店)-34km
惠宜选-上饶吾悦广场店-33km
共橙超市-上饶胜利路店-7.1km
共橙-站式超市(玉山三清大道店)-34km</t>
  </si>
  <si>
    <t>共橙超市-南昌东湖店-46km
共橙-站式超市(景德镇紫晶路店)-189km
共橙一站式超市(景德镇翠云路店)-10km
共橙-站式超市(浮梁县新昌北路店)-16km</t>
  </si>
  <si>
    <t xml:space="preserve">共橙-站式超市(余干县世纪大道店)-137km
共橙一站式超市(万年建德大街店)-44km
共橙-站式超市(德兴滨河大道店)-86km
惠宜选-江西上饶市婺源店-61km </t>
  </si>
  <si>
    <t>惠宜选-江西宜春中山西路店-205km
共橙一站式超市(宜春文体路店)-5.9km
共橙-站式超市(万载县康乐大道店)-44km
共橙-站式超市(宜丰县新昌中路店)-56km
厉臣-宜春市上高店-28km
惠宜选-超市(高安沿江中路店)-54km
共橙-站式超市(高安瑞阳大道店)-3km</t>
  </si>
  <si>
    <t>共橙一站式超市(南昌东祥路店)-32km
共橙-站式超市(南昌小洲路店)-5.2km
共橙-站式超市(南昌解放西路店)-27km
共橙一站式超市(南昌京东大道店)-9.5km
共橙-站式超市(进贤昌盛路店)-64km</t>
  </si>
  <si>
    <t>共橙一站式超市(丰城紫云南大道店)-63km
共橙-站式超市(樟树药都路店)-28km
共橙一站式超市(新余市青年路店)-80km
共橙-站式超市(宜春文体路店)-57km
共橙一站式超市(万载县康乐大道店)-44km</t>
  </si>
  <si>
    <t>共橙-站式超市(南昌明月山大道店)-7.7km
厉臣-宜春市上高店-98km
共橙一站式超市(新余抱石大道店)-68km
共橙-站式超市(分宜县天工南大道店)-30km
惠宜选-萍乡金三角店-96km
惠宜选超市(萍乡萍安中大道店)-4.6km</t>
  </si>
  <si>
    <t>共橙-站式超市(南昌解放西路店)-46km
惠宜选-九江市柴桑店-142km
共橙-站式超市(九江浔阳东路店)-25km
共橙-站式超市(湖口渊明路店)-28km
厉臣便利-(彭泽县龙兴路店)-34km</t>
  </si>
  <si>
    <t>共橙一站式超市(永修建昌大道店)-59km
共橙-站式超市(九江八里湖大道店)-94km
共橙一站式超市(九江花溪路店)-6.4km</t>
  </si>
  <si>
    <t>共橙-站式超市(南昌京东大道店)-60km
共橙一站式超市(万年建德大街店)-131km
共橙-站式超市(铅山狮江大道店)-89km
惠宜选-上饶吾悦广场店-33km
共橙超市-上饶胜利路店-6.2km</t>
  </si>
  <si>
    <t>共橙一站式超市(浮梁县新昌北路店)-237km
惠宜选-江西上饶市婺源店-75km</t>
  </si>
  <si>
    <t>共橙超市-南昌东湖店-46km
共橙一站式超市(余干县世纪大道店)-94km
共橙-站式超市(鄱阳锦宇大道店)-46km
共橙-站式超市(德兴滨河大道店)-117km</t>
  </si>
  <si>
    <t>共橙-站式超市(抚州乐安大道店)-151km
共橙一站式超市(崇仁站前路店)-60km
共橙-站式超市(抚州迎宾大道店)-41km
共橙-站式超市(抚州金巢大道店)-3.3km
共橙-站式超市(东乡求学路店)-45km</t>
  </si>
  <si>
    <t>共橙一站式超市(南昌小洲路店)-36km
共橙-站式超市(吉水万里大道店)-213km
共橙一站式超市(吉安田侯路店)-25km
共橙-站式超市(吉安县赣江大道店)-11km
共橙-站式超市(泰和澄江大道店)-29km
共橙一站式超市(永新湘赣大道店)-87km
共橙-站式超市(遂川川江南路店)-125km</t>
  </si>
  <si>
    <t>共橙一站式超市(永修建昌大道店)-59km
共橙-站式超市(共青城南湖大道店)-36km
共橙-站式超市(九江八里湖大道店)-62km
共橙-站式超市(瑞昌赤乌大道店)-45km</t>
  </si>
  <si>
    <t>共橙-站式超市(南昌东祥路店)-32km
共橙-站式超市(南昌迎宾中大道店)-12km
共橙-站式超市(南昌解放西路店)-12km
共橙-站式超市(德安宝塔大道店)-102km
共橙-站式超市(庐山玉帘路店)-46km
厉臣-九江市都昌东风大道店-48km</t>
  </si>
  <si>
    <t>共橙一站式超市(南昌招贤大道店)-16km
共橙-站式超市(南昌经开区庐山南大道店)-15km
共橙- -站式超市(进贤昌盛路店)-91km
共橙-站式超市(鹰潭五洲路店)-88km</t>
  </si>
  <si>
    <t>共橙一站式超市(南昌东祥路店)-32km
共橙-站式超市(铅山狮江大道店)-223km
惠宜选-上饶吾悦广场店-33km
共橙超市-上饶胜利路店-7.3km
惠宜选-上饶广丰店-27km
共橙一站式超市(玉山三清大道店)-34km</t>
  </si>
  <si>
    <t>共橙一站式超市(南昌东祥路店)-32km
共橙-站式超市(南昌小洲路店)-5.2km
共橙-站式超市(抚州迎宾大道店)-102km
共橙-站式超市(抚州玉茗路店)-6.4km
共橙-站式超市(南城登高路店)-61km
共橙一站式超市(南丰南广路店)-43km
共橙一站式超市(黎川杏林路店)-56km</t>
  </si>
  <si>
    <t>共橙一站式超市(余干县世纪大道店)-137km
共橙一站式超市(万年建德大街店)-44km
共橙-站式超市(德兴滨河大道店)-86km
惠宜选-江西上饶市婺源店-62km</t>
  </si>
  <si>
    <t>共橙一站式超市(南昌长富大道店)-20km
共橙-站式超市(南昌京东大道店)-56km
共橙-站式超市(南昌解放西路店)-9.9km
共橙-站式超市(进贤昌盛路店)-58km
共橙-站式超市(东乡求学路店)-41km
惠宜选超市(弋阳县梅山路店)-94km</t>
  </si>
  <si>
    <t>共橙-站式超市(奉新县迎宾大道店)-45km
共橙一站式超市(安义学府大道店)-12km
共橙-站式超市(永修建昌大道店)-38km
共橙一站式超市(庐山玉帘路店)-82km
厉臣-九江市都昌东风大道店-48km</t>
  </si>
  <si>
    <t>共橙-站式超市(南昌东祥路店)-32km
共橙-站式超市(南昌迎宾中大道店)-29km
共橙一站式超市(进贤昌盛路店)-57km
共橙一站式超市(鹰潭五洲路店)-88km
共橙-站式超市(贵溪雄石东路店)-24km</t>
  </si>
  <si>
    <t>共橙-站式超市(宁都县登峰大道店)-294km
共橙一站式超市(兴国县将军大道店)-97km</t>
  </si>
  <si>
    <t>共橙-站式超市(抚州乐安大道店)-151km
共橙-站式超市(瑞金龙珠路店)-226km
共橙一站式超市(于都杨公路店)-79km
共橙-站式超市(南康蓝田大道店)-90km</t>
  </si>
  <si>
    <t>共橙-站式超市(抚州金巢大道店)-120km
共橙一站式超市(抚州迎宾大道店)-3.4km
共橙-站式超市(抚州玉茗路店)-6.4km
共橙-站式超市(崇仁站前路店)-34km
共橙一站式超市(南城登高路店)-83km
共橙-站式超市(南丰南广路店)-43km
共橙-站式超市(黎川杏林路店)-56km</t>
  </si>
  <si>
    <t>共橙一站式超市(余干县世纪大道店)-137km
共橙-站式超市(鄱阳锦宇大道店)-46km
共橙-站式超市(景德镇紫晶路店)-83km
共橙-站式超市(浮梁县新昌北路店)-19km</t>
  </si>
  <si>
    <t>共橙-站式超市(南昌东祥路店)-32km
厉臣-宜春市上高店-122km
共橙一站式超市(宜丰县新昌中路店)-24km
共橙一站式超市(万载县康乐大道店)-56km
共橙-站式超市(宜春文体路店)-43km
惠宜选-江西宜春中山西路店-4.8km</t>
  </si>
  <si>
    <t>共橙一站式超市(抚州金巢大道店)-120km
共橙-站式超市(抚州迎宾大道店)-3.4km
共橙-站式超市(抚州玉茗路店)-6.4km
共橙-站式超市(崇仁站前路店)-34km
共橙-站式超市(抚州乐安大道店)-60km
共橙一站式超市(南城登高路店)-132km
共橙-站式超市(南丰南广路店)-45km
共橙-站式超市(黎川杏林路店)-56km</t>
  </si>
  <si>
    <t>共橙-站式超市(南昌东祥路店)-32km
共橙-站式超市(南昌小洲路店)-5.2km
共橙-站式超市(南昌迎宾中大道店)-9.5km
共橙-站式超市(进贤昌盛路店)-57km
共橙一站式超市(东乡求学路店)-41km
共橙-站式超市(鹰潭五洲路店)-46km
共橙-站式超市(贵溪雄石东路店)-23km</t>
  </si>
  <si>
    <t>共橙一站式超市(南昌经开区庐山南大道店)-26km
共橙一站式超市(德安宝塔大道店)-84km
共橙一站式超市(九江浔阳东路店)-62km
共橙-站式超市(湖口渊明路店)-28km
厉臣便利(彭泽县龙兴路店)-35km</t>
  </si>
  <si>
    <t>共橙一站式超市(抚州乐安大道店)-151km
共橙-站式超市(宁都县登峰大道店)-150km
共橙-站式超市(兴国县将军大道店)-101km
共橙-站式超市(于都杨公路店)-86km
共橙-站式超市(瑞金龙珠路店)-81km</t>
  </si>
  <si>
    <t>共橙超市-南昌东湖店-46km
共橙-站式超市(南昌京东大道店)-9.1km
共橙一站式超市(抚州金巢大道店)-106km
共橙-站式超市(抚州玉茗路店)-8.7km
共橙一站式超市(崇仁站前路店)-34km
共橙-站式超市(南城登高路店)-83km
共橙-站式超市(南丰南广路店)-45km
共橙-站式超市(黎川杏林路店)-56km</t>
  </si>
  <si>
    <t>共橙一站式超市(南昌长富大道店)-20km
共橙一站式超市(景德镇紫晶路店)-210km
共橙-站式超市(浮梁县新昌北路店)-19km</t>
  </si>
  <si>
    <t>惠宜选-九江市柴桑店-133km
共橙-站式超市(九江八里湖大道店)-16km
共橙-站式超市(九江花溪路店)-7km
共橙-站式超市(九江浔阳东路店)-10km
共橙-站式超市(湖口渊明路店)-28km
厉臣便利(彭泽县龙兴路店)-34km</t>
  </si>
  <si>
    <t>共橙-站式超市(永修建昌大道店)-59km
共橙- 站式超市(共青城南湖大道店)-36km
共橙一站式超市(德安宝塔大道店)-11km
厉臣-九江市都昌东风大道店-67km
共橙一站式超市(庐山玉帘路店)-75km
共橙-站式超市(瑞昌赤乌大道店)-66km</t>
  </si>
  <si>
    <t>共橙一站式超市(丰城紫云南大道店)-63km
共橙-站式超市(樟树药都路店)-28km
共橙-站式超市(新余抱石大道店)-76km
共橙-站式超市(新余市青年路店)-5.5km</t>
  </si>
  <si>
    <t>共橙一站式超市(抚州金巢大道店)-120km
共橙-站式超市(南城登高路店)-57km
共橙一站式超市(黎川杏林路店)-61km
共橙一站式超市(南丰南广路店)-56km
共橙一站式超市(宁都县登峰大道店)-108km
共橙-站式超市(瑞金龙珠路店)-75km</t>
  </si>
  <si>
    <t>共橙一站式超市(南昌明月山大道店)-7.7km
共橙-站式超市(新干县金川大道店)-136km
共橙一站式超市(吉安青原大道店)-89km
共橙一站式超市(吉安县赣江大道店)-15km
共橙-站式超市(泰和澄江大道店)-29km
共橙一站式超市(永新湘赣大道店)-89km</t>
  </si>
  <si>
    <t>共橙-站式超市(南昌东祥路店)-32km
共橙一站式超市(南昌小洲路店)-5.2km
共橙-站式超市(进贤昌盛路店)-59km
共橙-站式超市(抚州迎宾大道店)-62km
共橙-站式超市(抚州玉茗路店)-6.4km
共橙一站式超市(崇仁站前路店)-34km
共橙-站式超市(抚州乐安大道店)-60km</t>
  </si>
  <si>
    <t>共橙-站式超市(南昌经开区庐山南大道店)-26km
共橙-站式超市(九江花溪路店)-127km
共橙一站式超市(九江浔阳东路店)-10km
共橙-站式超市(湖口渊明路店)-28km
厉臣便利(彭泽县龙兴路店)-35km</t>
  </si>
  <si>
    <t>共橙-站式超市(南昌招贤大道店)-16km
共橙一站式超市(永修建昌大道店)-45km
共橙一站式超市(德安宝塔大道店)-45km
共橙-站式超市(庐山玉帘路店)-47km
厉臣-九江市都昌东风大道店-48km</t>
  </si>
  <si>
    <t>共橙-站式超市(奉新县迎宾大道店)-45km
共橙-站式超市(高安瑞阳大道店)-38km
厉臣-宜春市上高店-54km
共橙一站式超市(宜丰县新昌中路店)-24km
惠宜选-九江市修水店-93km</t>
  </si>
  <si>
    <t>共橙-站式超市(南昌长富大道店)-20km
共橙一站式超市(余干县世纪大道店)-123km
共橙-站式超市(鄱阳锦宇大道店)-46km
共橙一站式超市( 景德镇紫晶路店)-83km
共橙一站式超市(浮梁县新昌北路店)-19km</t>
  </si>
  <si>
    <t>共橙超市-南昌东湖店-46km
共橙-站式超市(万年建德大街店)-139km
共橙-站式超市(德兴滨河大道店)-86km
惠宜选-江西上饶市婺源店-62km</t>
  </si>
  <si>
    <t>共橙-站式超市(抚州金巢大道店)-120km
共橙一站式超市(抚州迎宾大道店)-3.4km
共橙一站式超市(抚州玉茗路店)-6.4km
共橙一站式超市(崇仁站前路店)-34km
共橙-站式超市(南城登高路店)-83km
共橙-站式超市(南丰南广路店)-43km
共橙一站式超市(黎川杏林路店)-56km</t>
  </si>
  <si>
    <t>共橙-站式超市(新干县金川大道店)-120km
共橙-站式超市(抚州乐安大道店)-73km
共橙-站式超市(瑞金龙珠路店)-226km
共橙一站式超市(会昌兴会路店)-43km</t>
  </si>
  <si>
    <t>共橙-站式超市(南昌小洲路店)-36km
共橙一站式超市(东乡求学路店)-99km
惠宜选超市(弋阳县梅山路店)-101km
惠宜选-上饶吾悦广场店-64km
惠宜选-上饶广丰店-33km
共橙-站式超市(玉山三清大道店)-34km</t>
  </si>
  <si>
    <t>共橙一站式超市(共青城南湖大道店)-90km
惠宜选-九江市柴桑店-54km
共橙一站式超市(九江八里湖大道店)-16km
共橙一站式超市(瑞昌赤乌大道店)-45km</t>
  </si>
  <si>
    <t>惠宜选超市(高安沿江中路店)-43km
厉臣-宜春市上高店-55km
共橙一站式超市(宜丰县新昌中路店)-24km
共橙一站式超市(万载县康乐大道店)-58km
共橙一站式超市(宜春文体路店)-45km
惠宜选-江西宜春中山西路店-4.8km</t>
  </si>
  <si>
    <t>共橙-站式超市(南昌招贤大道店)-16km
共橙一站式超市(德安宝塔大道店)-80km
共橙-站式超市(庐山玉帘路店)-47km
厉臣-九江市都昌东风大道店-48km</t>
  </si>
  <si>
    <t>共橙一站式超市(南昌明月山大道店)-7.7km
共橙一站式超市(安义学府大道店)-42km
共橙-站式超市(奉新县迎宾大道店)-31km
惠宜选-九江市修水店-129km</t>
  </si>
  <si>
    <t>共橙-站式超市(丰城紫云南大道店)-63km
共橙一站式超市(樟树药都路店)-28km
惠宜选-萍乡金三角店-192km
惠宜选超市(萍乡萍安中大道店)-4.6km</t>
  </si>
  <si>
    <t>厉臣-宜春市上高店-94km
共橙-站式超市(宜丰县新昌中路店)-24km
共橙-站式超市(万载县康乐大道店)-58km
共橙-站式超市(分宜县天工南大道店)-53km
共橙-站式超市(新余市青年路店)-34km
共橙-站式超市(新余抱石大道店)-4.3km</t>
  </si>
  <si>
    <t>共橙超市-南昌东湖店-46km
共橙-站式超市(鄱阳锦宇大道店)-127km
共橙-站式超市(景德镇紫晶路店)-83km
共橙一站式超市(浮梁县新昌北路店)-16km</t>
  </si>
  <si>
    <t>共橙-站式超市(新干县金川大道店)-120km
共橙一站式超市(于都杨公路店)-267km
共橙一站式超市(赣县梅林大街店)-52km
共橙-站式超市(南康蓝田大道店)-40km
共橙-站式超市(信丰沿江路店)-42km</t>
  </si>
  <si>
    <t>共橙一站式超市(抚州玉茗路店)-123km
共橙-站式超市(抚州迎宾大道店)-12km
共橙-站式超市(抚州金巢大道店)-3.3km
共橙一站式超市(金溪县秀谷西大道店)-47km
共橙一站式超市(南城登高路店)-65km
共橙一站式超市(黎川杏林路店)-60km
共橙一站式超市(南丰南广路店)-56km
共橙一站式超市(宁都县登峰大道店)-109km</t>
  </si>
  <si>
    <t>共橙-站式超市(南昌京东大道店)-60km
共橙-站式超市(德兴滨河大道店)-187km
惠宜选-江西上饶市婺源店-62km</t>
  </si>
  <si>
    <t>共橙一站式超市(德安宝塔大道店)-93km
共橙-站式超市(九江八里湖大道店)-53km
共橙-站式超市(九江花溪路店)-6.4km
共橙一站式超市(九江浔阳东路店)-10km
共橙-站式超市(湖口渊明路店)-28km
厉臣便利-(彭泽县龙兴路店)-34km</t>
  </si>
  <si>
    <t>共橙一站式超市(南昌明月山大道店)-7.7km
共橙-站式超市(南昌招贤大道店)-13km
惠宜选-九江市柴桑店-119km
共橙-站式超市(瑞昌赤乌大道店)-35km</t>
  </si>
  <si>
    <t>共橙-站式超市(南昌迎宾中大道店)-41km
共橙-站式超市(南昌解放西路店)-12km
共橙-站式超市(进贤昌盛路店)-55km
共橙一站式超市(鹰潭五洲路店)-88km
共橙一站式超市(贵溪雄石东路店)-27km</t>
  </si>
  <si>
    <t>共橙一站式超市(遂川川江南路店)-313km
共橙-站式超市(赣县梅林大街店)-88km
共橙一站式超市(南康蓝田大道店)-40km
共橙-站式超市(大余建安路店)-59km
共橙-站式超市(信丰沿江路店)-88km
共橙-站式超市(安远腾飞路店)-91km
共橙一站式超市(定南龙亭路店)-68km</t>
  </si>
  <si>
    <t>共橙一站式超市(抚州金巢大道店)-120km  
  共橙一站式超市(抚州玉茗路店)-6.4km    
  共橙一站式超市(崇仁站前路店)-34km     
  共橙一站式超市(南城登高路店)-83km     
  共橙一站式超市(南丰南广路店)-43km     
  共橙一站式超市(黎川杏林路店)-56km</t>
  </si>
  <si>
    <t>共橙一站式超市(南昌明月山大道店)-7.7km
共橙-站式超市(南昌小洲路店)-35km
共橙-站式超市(南昌京东大道店)-29km
共橙-站式超市(抚州迎宾大道店)-107km
共橙一站式超市(金溪县秀谷西大道店)-44km</t>
  </si>
  <si>
    <t>共橙一站式超市(南昌明月山大道店)-7.7km
共橙超市-南昌东湖店-61km
共橙-站式超市(鄱阳锦宇大道店)-127km
共橙-站式超市( 景德镇紫晶路店)-83km
共橙-站式超市(浮梁县新昌北路店)-16km</t>
  </si>
  <si>
    <t>共橙-站式超市(南昌明月山大道店)-7.7km
共橙一站式超市(南昌解放西路店)-55km
共橙-站式超市(共青城南湖大道店)-96km
共橙一站式超市(庐山玉帘路店)-51km
厉臣-九江市都昌东风大道店-48km</t>
  </si>
  <si>
    <t>共橙一站式超市(南昌东祥路店)-32km
  共橙一站式超市(南昌迎宾中大道店)-29km        
  共橙一站式超市(进贤昌盛路店)-57km
  共橙一站式超市(鹰潭余江区白塔东路店)-66km
  共橙一站式超市(鹰潭五洲路店)-23km
  共橙一站式超市(贵溪雄石东路店)-23km</t>
  </si>
  <si>
    <t>共橙一站式超市(安义学府大道店)-42km
  共橙一站式超市(奉新县迎宾大道店)-31km
  共橙一站式超市(宜丰县新昌中路店)-92km
  共橙一站式超市(九江市修水店)-93km</t>
  </si>
  <si>
    <t>共橙一站式超市(新干县金川大道店)-120km
  共橙一站式超市(兴国县将军大道店)-220km
  共橙一站式超市(于都杨公路店)-86km
  共橙一站式超市(瑞金龙珠路店)-79km
  共橙一站式超市(宁都县登峰大道店)-75km</t>
  </si>
  <si>
    <t>共橙一站式超市(抚州金巢大道店)-120km
  共橙一站式超市(抚州迎宾大道店)-3.4km
  共橙一站式超市(抚州玉茗路店)-6.4km
  共橙一站式超市(南城登高路店)-61km
  共橙一站式超市(南丰南广路店)-43km
  共橙一站式超市(黎川杏林路店)-56km</t>
  </si>
  <si>
    <t>共橙一站式超市(东乡求学路店)-116km
  共橙一站式超市(铅山狮江大道店)-127km
  共橙一站式超市(上饶吾悦广场店)-33km
  共橙一站式超市(上饶胜利路店)-7.3km
  共橙一站式超市(上饶广丰店)-27km
  共橙一站式超市(玉山三清大道店)-34km</t>
  </si>
  <si>
    <t>共橙一站式超市(南昌东祥路店)-32km       
  共橙一站式超市(南昌小洲路店)-5.2km      
  共橙一站式超市(南昌解放西路店)-27km     
  共橙一站式超市(南昌东湖店)-9.5km        
  共橙一站式超市(南昌京东大道店)-9.1km
  共橙一站式超市(进贤昌盛路店)-64km</t>
  </si>
  <si>
    <t>共橙一站式超市(丰城紫云南大道店)-63km
  共橙一站式超市(新干县金川大道店)-75km
  共橙一站式超市(吉安青原大道店)-89km
  共橙一站式超市(吉安县赣江大道店)-15km
  共橙一站式超市(泰和澄江大道店)-29km
  共橙一站式超市(永新湘赣大道店)-89km</t>
  </si>
  <si>
    <t>共橙一站式超市(高安瑞阳大道店)-41km
  共橙一站式超市(樟树药都路店)-62km
  共橙一站式超市(新余抱石大道店)-76km
  共橙一站式超市(新余市青年路店)-5.5km
  共橙一站式超市(分宜县天工南大道店)-28km</t>
  </si>
  <si>
    <t>共橙一站式超市(共青城南湖大道店)-90km
  共橙一站式超市(九江市柴桑店)-160km
  共橙一站式超市(九江八里湖大道店)-16km
  共橙一站式超市(瑞昌赤乌大道店)-45km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</si>
</sst>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 wrapText="1"/>
    </xf>
    <xf numFmtId="58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873760</xdr:colOff>
      <xdr:row>6</xdr:row>
      <xdr:rowOff>1027430</xdr:rowOff>
    </xdr:from>
    <xdr:to>
      <xdr:col>14</xdr:col>
      <xdr:colOff>444500</xdr:colOff>
      <xdr:row>7</xdr:row>
      <xdr:rowOff>1184910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13995" y="10276205"/>
          <a:ext cx="3142615" cy="160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793750</xdr:colOff>
      <xdr:row>6</xdr:row>
      <xdr:rowOff>672465</xdr:rowOff>
    </xdr:from>
    <xdr:to>
      <xdr:col>17</xdr:col>
      <xdr:colOff>649605</xdr:colOff>
      <xdr:row>7</xdr:row>
      <xdr:rowOff>1332865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05860" y="9921240"/>
          <a:ext cx="3427730" cy="210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327660</xdr:colOff>
      <xdr:row>21</xdr:row>
      <xdr:rowOff>285750</xdr:rowOff>
    </xdr:from>
    <xdr:to>
      <xdr:col>13</xdr:col>
      <xdr:colOff>1089025</xdr:colOff>
      <xdr:row>22</xdr:row>
      <xdr:rowOff>805180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67895" y="27311350"/>
          <a:ext cx="3142615" cy="160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250190</xdr:colOff>
      <xdr:row>20</xdr:row>
      <xdr:rowOff>488315</xdr:rowOff>
    </xdr:from>
    <xdr:to>
      <xdr:col>17</xdr:col>
      <xdr:colOff>106045</xdr:colOff>
      <xdr:row>22</xdr:row>
      <xdr:rowOff>786765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62300" y="26790015"/>
          <a:ext cx="3427730" cy="210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156845</xdr:colOff>
      <xdr:row>26</xdr:row>
      <xdr:rowOff>477520</xdr:rowOff>
    </xdr:from>
    <xdr:to>
      <xdr:col>13</xdr:col>
      <xdr:colOff>918210</xdr:colOff>
      <xdr:row>27</xdr:row>
      <xdr:rowOff>1177925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7080" y="33113345"/>
          <a:ext cx="3142615" cy="160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84455</xdr:colOff>
      <xdr:row>25</xdr:row>
      <xdr:rowOff>1033780</xdr:rowOff>
    </xdr:from>
    <xdr:to>
      <xdr:col>16</xdr:col>
      <xdr:colOff>1130935</xdr:colOff>
      <xdr:row>27</xdr:row>
      <xdr:rowOff>1151255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96565" y="32583755"/>
          <a:ext cx="3427730" cy="210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tabSelected="1" workbookViewId="0">
      <pane ySplit="1" topLeftCell="A99" activePane="bottomLeft" state="frozen"/>
      <selection/>
      <selection pane="bottomLeft" activeCell="C107" sqref="C107"/>
    </sheetView>
  </sheetViews>
  <sheetFormatPr defaultColWidth="15.625" defaultRowHeight="14.25"/>
  <cols>
    <col min="1" max="1" width="11.375" style="1" customWidth="1"/>
    <col min="2" max="2" width="11.125" style="1" customWidth="1"/>
    <col min="3" max="3" width="34.75" style="1" customWidth="1"/>
    <col min="4" max="4" width="15.875" style="1" customWidth="1"/>
    <col min="5" max="5" width="12.125" style="1" hidden="1" customWidth="1"/>
    <col min="6" max="7" width="15.625" style="5" customWidth="1"/>
    <col min="8" max="8" width="14.25" style="6" customWidth="1"/>
    <col min="9" max="9" width="12.25" style="6" customWidth="1"/>
    <col min="10" max="10" width="11.5083333333333" style="6" customWidth="1"/>
    <col min="11" max="11" width="15.625" style="6" customWidth="1"/>
    <col min="12" max="12" width="15.625" style="4" customWidth="1"/>
    <col min="13" max="16384" width="15.625" style="1" customWidth="1"/>
  </cols>
  <sheetData>
    <row r="1" ht="30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7" t="s">
        <v>10</v>
      </c>
      <c r="M1" s="7" t="s">
        <v>11</v>
      </c>
      <c r="N1" s="7" t="s">
        <v>12</v>
      </c>
    </row>
    <row r="2" s="1" customFormat="1" ht="156.75" spans="1:14">
      <c r="A2" s="9">
        <v>1</v>
      </c>
      <c r="B2" s="10">
        <v>45870</v>
      </c>
      <c r="C2" s="9" t="s">
        <v>13</v>
      </c>
      <c r="D2" s="9" cm="1">
        <f t="array" ref="D2">SUM(VALUE(SUBSTITUTE(_xlfn.TEXTAFTER(_xlfn.TEXTSPLIT(C2,CHAR(10)),"-",-1),"km","")))</f>
        <v>240.2</v>
      </c>
      <c r="E2" s="9">
        <f>42+63+10+12+10+8</f>
        <v>145</v>
      </c>
      <c r="F2" s="11">
        <f t="shared" ref="F2:F37" si="0">G2/1.09</f>
        <v>3.94495412844037</v>
      </c>
      <c r="G2" s="11">
        <v>4.3</v>
      </c>
      <c r="H2" s="8">
        <f t="shared" ref="H2:H37" si="1">D2*F2</f>
        <v>947.577981651377</v>
      </c>
      <c r="I2" s="8">
        <f t="shared" ref="I2:I37" si="2">D2*G2</f>
        <v>1032.86</v>
      </c>
      <c r="J2" s="8">
        <v>3.5</v>
      </c>
      <c r="K2" s="8">
        <f t="shared" ref="K2:K37" si="3">D2*J2</f>
        <v>840.7</v>
      </c>
      <c r="L2" s="7"/>
      <c r="M2" s="9"/>
      <c r="N2" s="9"/>
    </row>
    <row r="3" ht="142.5" spans="1:17">
      <c r="A3" s="9">
        <v>2</v>
      </c>
      <c r="B3" s="10"/>
      <c r="C3" s="9" t="s">
        <v>14</v>
      </c>
      <c r="D3" s="9" cm="1">
        <f t="array" ref="D3">SUM(VALUE(SUBSTITUTE(_xlfn.TEXTAFTER(_xlfn.TEXTSPLIT(C3,CHAR(10)),"-",-1),"km","")))</f>
        <v>260.7</v>
      </c>
      <c r="E3" s="9">
        <f>143+48+43+36</f>
        <v>270</v>
      </c>
      <c r="F3" s="11">
        <f t="shared" si="0"/>
        <v>3.94495412844037</v>
      </c>
      <c r="G3" s="11">
        <v>4.3</v>
      </c>
      <c r="H3" s="8">
        <f t="shared" si="1"/>
        <v>1028.4495412844</v>
      </c>
      <c r="I3" s="8">
        <f t="shared" si="2"/>
        <v>1121.01</v>
      </c>
      <c r="J3" s="8">
        <v>3.5</v>
      </c>
      <c r="K3" s="8">
        <f t="shared" si="3"/>
        <v>912.45</v>
      </c>
      <c r="L3" s="7"/>
      <c r="M3" s="9"/>
      <c r="N3" s="9"/>
      <c r="Q3" s="2"/>
    </row>
    <row r="4" customFormat="1" ht="156.75" spans="1:17">
      <c r="A4" s="9"/>
      <c r="B4" s="10"/>
      <c r="C4" s="9" t="s">
        <v>15</v>
      </c>
      <c r="D4" s="9" cm="1">
        <f t="array" ref="D4">SUM(VALUE(SUBSTITUTE(_xlfn.TEXTAFTER(_xlfn.TEXTSPLIT(C4,CHAR(10)),"-",-1),"km","")))</f>
        <v>328.3</v>
      </c>
      <c r="E4" s="9">
        <f>143+48+43+36</f>
        <v>270</v>
      </c>
      <c r="F4" s="11">
        <f t="shared" si="0"/>
        <v>3.76146788990826</v>
      </c>
      <c r="G4" s="11">
        <v>4.1</v>
      </c>
      <c r="H4" s="8">
        <f t="shared" si="1"/>
        <v>1234.88990825688</v>
      </c>
      <c r="I4" s="8">
        <f t="shared" si="2"/>
        <v>1346.03</v>
      </c>
      <c r="J4" s="8">
        <v>3.2</v>
      </c>
      <c r="K4" s="8">
        <f t="shared" si="3"/>
        <v>1050.56</v>
      </c>
      <c r="L4" s="7"/>
      <c r="M4" s="9"/>
      <c r="N4" s="9"/>
      <c r="O4" s="1"/>
      <c r="P4" s="1"/>
      <c r="Q4" s="2"/>
    </row>
    <row r="5" s="2" customFormat="1" ht="114" spans="1:16">
      <c r="A5" s="12">
        <v>4</v>
      </c>
      <c r="B5" s="13">
        <v>45871</v>
      </c>
      <c r="C5" s="12" t="s">
        <v>16</v>
      </c>
      <c r="D5" s="12" cm="1">
        <f t="array" ref="D5">SUM(VALUE(SUBSTITUTE(_xlfn.TEXTAFTER(_xlfn.TEXTSPLIT(C5,CHAR(10)),"-",-1),"km","")))</f>
        <v>558</v>
      </c>
      <c r="E5" s="12">
        <f>98+96</f>
        <v>194</v>
      </c>
      <c r="F5" s="14">
        <f t="shared" si="0"/>
        <v>3.76146788990826</v>
      </c>
      <c r="G5" s="14">
        <v>4.1</v>
      </c>
      <c r="H5" s="15">
        <f t="shared" si="1"/>
        <v>2098.89908256881</v>
      </c>
      <c r="I5" s="15">
        <f t="shared" si="2"/>
        <v>2287.8</v>
      </c>
      <c r="J5" s="15">
        <v>3.2</v>
      </c>
      <c r="K5" s="15">
        <f t="shared" si="3"/>
        <v>1785.6</v>
      </c>
      <c r="L5" s="21"/>
      <c r="M5" s="12"/>
      <c r="N5" s="12"/>
      <c r="P5" s="1"/>
    </row>
    <row r="6" s="2" customFormat="1" ht="128.25" spans="1:16">
      <c r="A6" s="9">
        <v>5</v>
      </c>
      <c r="B6" s="10"/>
      <c r="C6" s="9" t="s">
        <v>17</v>
      </c>
      <c r="D6" s="9" cm="1">
        <f t="array" ref="D6">SUM(VALUE(SUBSTITUTE(_xlfn.TEXTAFTER(_xlfn.TEXTSPLIT(C6,CHAR(10)),"-",-1),"km","")))</f>
        <v>377.4</v>
      </c>
      <c r="E6" s="9">
        <f>120+74+34+43</f>
        <v>271</v>
      </c>
      <c r="F6" s="11">
        <f t="shared" si="0"/>
        <v>3.76146788990826</v>
      </c>
      <c r="G6" s="11">
        <v>4.1</v>
      </c>
      <c r="H6" s="8">
        <f t="shared" si="1"/>
        <v>1419.57798165138</v>
      </c>
      <c r="I6" s="8">
        <f t="shared" si="2"/>
        <v>1547.34</v>
      </c>
      <c r="J6" s="8">
        <v>3.2</v>
      </c>
      <c r="K6" s="8">
        <f t="shared" si="3"/>
        <v>1207.68</v>
      </c>
      <c r="L6" s="7"/>
      <c r="M6" s="9"/>
      <c r="N6" s="9"/>
      <c r="P6" s="1"/>
    </row>
    <row r="7" s="3" customFormat="1" ht="114" spans="1:16">
      <c r="A7" s="9">
        <v>6</v>
      </c>
      <c r="B7" s="16"/>
      <c r="C7" s="7" t="s">
        <v>18</v>
      </c>
      <c r="D7" s="9" cm="1">
        <f t="array" ref="D7">SUM(VALUE(SUBSTITUTE(_xlfn.TEXTAFTER(_xlfn.TEXTSPLIT(C7,CHAR(10)),"-",-1),"km","")))</f>
        <v>282</v>
      </c>
      <c r="E7" s="7">
        <f>180+16+9.5+59+47</f>
        <v>311.5</v>
      </c>
      <c r="F7" s="8">
        <f t="shared" si="0"/>
        <v>3.94495412844037</v>
      </c>
      <c r="G7" s="8">
        <v>4.3</v>
      </c>
      <c r="H7" s="8">
        <f t="shared" si="1"/>
        <v>1112.47706422018</v>
      </c>
      <c r="I7" s="8">
        <f t="shared" si="2"/>
        <v>1212.6</v>
      </c>
      <c r="J7" s="8">
        <v>3.5</v>
      </c>
      <c r="K7" s="8">
        <f t="shared" si="3"/>
        <v>987</v>
      </c>
      <c r="L7" s="7"/>
      <c r="M7" s="7"/>
      <c r="N7" s="7"/>
      <c r="P7" s="1"/>
    </row>
    <row r="8" s="2" customFormat="1" ht="142.5" spans="1:16">
      <c r="A8" s="9">
        <v>9</v>
      </c>
      <c r="B8" s="17">
        <v>45872</v>
      </c>
      <c r="C8" s="9" t="s">
        <v>19</v>
      </c>
      <c r="D8" s="9" cm="1">
        <f t="array" ref="D8">SUM(VALUE(SUBSTITUTE(_xlfn.TEXTAFTER(_xlfn.TEXTSPLIT(C8,CHAR(10)),"-",-1),"km","")))</f>
        <v>175.6</v>
      </c>
      <c r="E8" s="9">
        <f>98+67+17</f>
        <v>182</v>
      </c>
      <c r="F8" s="11">
        <f t="shared" si="0"/>
        <v>4.12844036697248</v>
      </c>
      <c r="G8" s="11">
        <v>4.5</v>
      </c>
      <c r="H8" s="8">
        <f t="shared" si="1"/>
        <v>724.954128440368</v>
      </c>
      <c r="I8" s="8">
        <f t="shared" si="2"/>
        <v>790.2</v>
      </c>
      <c r="J8" s="8">
        <v>3.5</v>
      </c>
      <c r="K8" s="8">
        <f t="shared" si="3"/>
        <v>614.6</v>
      </c>
      <c r="L8" s="7"/>
      <c r="M8" s="9"/>
      <c r="N8" s="9"/>
      <c r="P8" s="1"/>
    </row>
    <row r="9" s="2" customFormat="1" ht="114" spans="1:16">
      <c r="A9" s="9">
        <v>10</v>
      </c>
      <c r="B9" s="18"/>
      <c r="C9" s="9" t="s">
        <v>20</v>
      </c>
      <c r="D9" s="9" cm="1">
        <f t="array" ref="D9">SUM(VALUE(SUBSTITUTE(_xlfn.TEXTAFTER(_xlfn.TEXTSPLIT(C9,CHAR(10)),"-",-1),"km","")))</f>
        <v>267</v>
      </c>
      <c r="E9" s="9">
        <f>13+83+10+7+8</f>
        <v>121</v>
      </c>
      <c r="F9" s="11">
        <f t="shared" si="0"/>
        <v>3.94495412844037</v>
      </c>
      <c r="G9" s="11">
        <v>4.3</v>
      </c>
      <c r="H9" s="8">
        <f t="shared" si="1"/>
        <v>1053.30275229358</v>
      </c>
      <c r="I9" s="8">
        <f t="shared" si="2"/>
        <v>1148.1</v>
      </c>
      <c r="J9" s="8">
        <v>3.5</v>
      </c>
      <c r="K9" s="8">
        <f t="shared" si="3"/>
        <v>934.5</v>
      </c>
      <c r="L9" s="7"/>
      <c r="M9" s="9"/>
      <c r="N9" s="9"/>
      <c r="P9" s="1"/>
    </row>
    <row r="10" s="2" customFormat="1" ht="99.75" spans="1:16">
      <c r="A10" s="9">
        <v>12</v>
      </c>
      <c r="B10" s="10">
        <v>45873</v>
      </c>
      <c r="C10" s="9" t="s">
        <v>21</v>
      </c>
      <c r="D10" s="9" cm="1">
        <f t="array" ref="D10">SUM(VALUE(SUBSTITUTE(_xlfn.TEXTAFTER(_xlfn.TEXTSPLIT(C10,CHAR(10)),"-",-1),"km","")))</f>
        <v>172.5</v>
      </c>
      <c r="E10" s="9">
        <f>98+55</f>
        <v>153</v>
      </c>
      <c r="F10" s="11">
        <f t="shared" si="0"/>
        <v>4.12844036697248</v>
      </c>
      <c r="G10" s="11">
        <v>4.5</v>
      </c>
      <c r="H10" s="8">
        <f t="shared" si="1"/>
        <v>712.155963302753</v>
      </c>
      <c r="I10" s="8">
        <f t="shared" si="2"/>
        <v>776.25</v>
      </c>
      <c r="J10" s="8">
        <v>3.5</v>
      </c>
      <c r="K10" s="8">
        <f t="shared" si="3"/>
        <v>603.75</v>
      </c>
      <c r="L10" s="7"/>
      <c r="M10" s="9"/>
      <c r="N10" s="9"/>
      <c r="P10" s="1"/>
    </row>
    <row r="11" s="2" customFormat="1" ht="71.25" spans="1:16">
      <c r="A11" s="9">
        <v>13</v>
      </c>
      <c r="B11" s="10"/>
      <c r="C11" s="9" t="s">
        <v>22</v>
      </c>
      <c r="D11" s="9" cm="1">
        <f t="array" ref="D11">SUM(VALUE(SUBSTITUTE(_xlfn.TEXTAFTER(_xlfn.TEXTSPLIT(C11,CHAR(10)),"-",-1),"km","")))</f>
        <v>215.4</v>
      </c>
      <c r="E11" s="9">
        <f>184+42+50</f>
        <v>276</v>
      </c>
      <c r="F11" s="11">
        <f t="shared" si="0"/>
        <v>3.94495412844037</v>
      </c>
      <c r="G11" s="11">
        <v>4.3</v>
      </c>
      <c r="H11" s="8">
        <f t="shared" si="1"/>
        <v>849.743119266056</v>
      </c>
      <c r="I11" s="8">
        <f t="shared" si="2"/>
        <v>926.22</v>
      </c>
      <c r="J11" s="8">
        <v>3.5</v>
      </c>
      <c r="K11" s="8">
        <f t="shared" si="3"/>
        <v>753.9</v>
      </c>
      <c r="L11" s="7"/>
      <c r="M11" s="9"/>
      <c r="N11" s="9"/>
      <c r="P11" s="1"/>
    </row>
    <row r="12" s="2" customFormat="1" ht="85.5" spans="1:16">
      <c r="A12" s="9">
        <v>14</v>
      </c>
      <c r="B12" s="10"/>
      <c r="C12" s="9" t="s">
        <v>23</v>
      </c>
      <c r="D12" s="9" cm="1">
        <f t="array" ref="D12">SUM(VALUE(SUBSTITUTE(_xlfn.TEXTAFTER(_xlfn.TEXTSPLIT(C12,CHAR(10)),"-",-1),"km","")))</f>
        <v>193</v>
      </c>
      <c r="E12" s="9">
        <f>180+61+46</f>
        <v>287</v>
      </c>
      <c r="F12" s="11">
        <f t="shared" si="0"/>
        <v>4.12844036697248</v>
      </c>
      <c r="G12" s="11">
        <v>4.5</v>
      </c>
      <c r="H12" s="8">
        <f t="shared" si="1"/>
        <v>796.788990825689</v>
      </c>
      <c r="I12" s="8">
        <f t="shared" si="2"/>
        <v>868.5</v>
      </c>
      <c r="J12" s="8">
        <v>3.5</v>
      </c>
      <c r="K12" s="8">
        <f t="shared" si="3"/>
        <v>675.5</v>
      </c>
      <c r="L12" s="7"/>
      <c r="M12" s="9"/>
      <c r="N12" s="9"/>
      <c r="P12" s="1"/>
    </row>
    <row r="13" s="2" customFormat="1" ht="128.25" spans="1:16">
      <c r="A13" s="9">
        <v>19</v>
      </c>
      <c r="B13" s="17">
        <v>45874</v>
      </c>
      <c r="C13" s="9" t="s">
        <v>24</v>
      </c>
      <c r="D13" s="9" cm="1">
        <f t="array" ref="D13">SUM(VALUE(SUBSTITUTE(_xlfn.TEXTAFTER(_xlfn.TEXTSPLIT(C13,CHAR(10)),"-",-1),"km","")))</f>
        <v>338</v>
      </c>
      <c r="E13" s="9">
        <f>18+100+10+7</f>
        <v>135</v>
      </c>
      <c r="F13" s="11">
        <f t="shared" si="0"/>
        <v>3.76146788990826</v>
      </c>
      <c r="G13" s="11">
        <v>4.1</v>
      </c>
      <c r="H13" s="8">
        <f t="shared" si="1"/>
        <v>1271.37614678899</v>
      </c>
      <c r="I13" s="8">
        <f t="shared" si="2"/>
        <v>1385.8</v>
      </c>
      <c r="J13" s="8">
        <v>3.2</v>
      </c>
      <c r="K13" s="8">
        <f t="shared" si="3"/>
        <v>1081.6</v>
      </c>
      <c r="L13" s="7"/>
      <c r="M13" s="9"/>
      <c r="N13" s="9"/>
      <c r="P13" s="1"/>
    </row>
    <row r="14" s="2" customFormat="1" ht="71.25" spans="1:16">
      <c r="A14" s="9">
        <v>20</v>
      </c>
      <c r="B14" s="18"/>
      <c r="C14" s="9" t="s">
        <v>25</v>
      </c>
      <c r="D14" s="9" cm="1">
        <f t="array" ref="D14">SUM(VALUE(SUBSTITUTE(_xlfn.TEXTAFTER(_xlfn.TEXTSPLIT(C14,CHAR(10)),"-",-1),"km","")))</f>
        <v>278</v>
      </c>
      <c r="E14" s="9">
        <f>98+10+62+17</f>
        <v>187</v>
      </c>
      <c r="F14" s="11">
        <f t="shared" si="0"/>
        <v>3.94495412844037</v>
      </c>
      <c r="G14" s="11">
        <v>4.3</v>
      </c>
      <c r="H14" s="8">
        <f t="shared" si="1"/>
        <v>1096.69724770642</v>
      </c>
      <c r="I14" s="8">
        <f t="shared" si="2"/>
        <v>1195.4</v>
      </c>
      <c r="J14" s="8">
        <v>3.5</v>
      </c>
      <c r="K14" s="8">
        <f t="shared" si="3"/>
        <v>973</v>
      </c>
      <c r="L14" s="7"/>
      <c r="M14" s="9"/>
      <c r="N14" s="9"/>
      <c r="P14" s="1"/>
    </row>
    <row r="15" s="2" customFormat="1" ht="71.25" spans="1:16">
      <c r="A15" s="9">
        <v>21</v>
      </c>
      <c r="B15" s="18"/>
      <c r="C15" s="9" t="s">
        <v>26</v>
      </c>
      <c r="D15" s="9" cm="1">
        <f t="array" ref="D15">SUM(VALUE(SUBSTITUTE(_xlfn.TEXTAFTER(_xlfn.TEXTSPLIT(C15,CHAR(10)),"-",-1),"km","")))</f>
        <v>210.4</v>
      </c>
      <c r="E15" s="9">
        <f>84+3+89</f>
        <v>176</v>
      </c>
      <c r="F15" s="11">
        <f t="shared" si="0"/>
        <v>3.94495412844037</v>
      </c>
      <c r="G15" s="11">
        <v>4.3</v>
      </c>
      <c r="H15" s="8">
        <f t="shared" si="1"/>
        <v>830.018348623854</v>
      </c>
      <c r="I15" s="8">
        <f t="shared" si="2"/>
        <v>904.72</v>
      </c>
      <c r="J15" s="8">
        <v>3.5</v>
      </c>
      <c r="K15" s="8">
        <f t="shared" si="3"/>
        <v>736.4</v>
      </c>
      <c r="L15" s="7"/>
      <c r="M15" s="9"/>
      <c r="N15" s="9"/>
      <c r="P15" s="1"/>
    </row>
    <row r="16" s="2" customFormat="1" ht="99.75" spans="1:16">
      <c r="A16" s="9">
        <v>22</v>
      </c>
      <c r="B16" s="18"/>
      <c r="C16" s="9" t="s">
        <v>27</v>
      </c>
      <c r="D16" s="9" cm="1">
        <f t="array" ref="D16">SUM(VALUE(SUBSTITUTE(_xlfn.TEXTAFTER(_xlfn.TEXTSPLIT(C16,CHAR(10)),"-",-1),"km","")))</f>
        <v>347.1</v>
      </c>
      <c r="E16" s="9">
        <f>84+3+89</f>
        <v>176</v>
      </c>
      <c r="F16" s="11">
        <f t="shared" si="0"/>
        <v>3.76146788990826</v>
      </c>
      <c r="G16" s="11">
        <v>4.1</v>
      </c>
      <c r="H16" s="8">
        <f t="shared" si="1"/>
        <v>1305.60550458716</v>
      </c>
      <c r="I16" s="8">
        <f t="shared" si="2"/>
        <v>1423.11</v>
      </c>
      <c r="J16" s="8">
        <v>3.2</v>
      </c>
      <c r="K16" s="8">
        <f t="shared" si="3"/>
        <v>1110.72</v>
      </c>
      <c r="L16" s="7"/>
      <c r="M16" s="9"/>
      <c r="N16" s="9"/>
      <c r="P16" s="1"/>
    </row>
    <row r="17" s="2" customFormat="1" ht="45" customHeight="1" spans="1:16">
      <c r="A17" s="9"/>
      <c r="B17" s="18"/>
      <c r="C17" s="9" t="s">
        <v>28</v>
      </c>
      <c r="D17" s="9" cm="1">
        <f t="array" ref="D17">SUM(VALUE(SUBSTITUTE(_xlfn.TEXTAFTER(_xlfn.TEXTSPLIT(C17,CHAR(10)),"-",-1),"km","")))</f>
        <v>247</v>
      </c>
      <c r="E17" s="9">
        <f>84+3+89</f>
        <v>176</v>
      </c>
      <c r="F17" s="11">
        <f t="shared" si="0"/>
        <v>3.94495412844037</v>
      </c>
      <c r="G17" s="11">
        <v>4.3</v>
      </c>
      <c r="H17" s="8">
        <f t="shared" si="1"/>
        <v>974.403669724771</v>
      </c>
      <c r="I17" s="8">
        <f t="shared" si="2"/>
        <v>1062.1</v>
      </c>
      <c r="J17" s="8">
        <v>3.5</v>
      </c>
      <c r="K17" s="8">
        <f t="shared" si="3"/>
        <v>864.5</v>
      </c>
      <c r="L17" s="7"/>
      <c r="M17" s="9"/>
      <c r="N17" s="9"/>
      <c r="P17" s="1"/>
    </row>
    <row r="18" s="2" customFormat="1" ht="58" customHeight="1" spans="1:16">
      <c r="A18" s="9"/>
      <c r="B18" s="18"/>
      <c r="C18" s="9" t="s">
        <v>29</v>
      </c>
      <c r="D18" s="9" cm="1">
        <f t="array" ref="D18">SUM(VALUE(SUBSTITUTE(_xlfn.TEXTAFTER(_xlfn.TEXTSPLIT(C18,CHAR(10)),"-",-1),"km","")))</f>
        <v>304</v>
      </c>
      <c r="E18" s="9">
        <f>84+3+89</f>
        <v>176</v>
      </c>
      <c r="F18" s="11">
        <f t="shared" si="0"/>
        <v>3.76146788990826</v>
      </c>
      <c r="G18" s="11">
        <v>4.1</v>
      </c>
      <c r="H18" s="8">
        <f t="shared" si="1"/>
        <v>1143.48623853211</v>
      </c>
      <c r="I18" s="8">
        <f t="shared" si="2"/>
        <v>1246.4</v>
      </c>
      <c r="J18" s="8">
        <v>3.2</v>
      </c>
      <c r="K18" s="8">
        <f t="shared" si="3"/>
        <v>972.8</v>
      </c>
      <c r="L18" s="7"/>
      <c r="M18" s="9"/>
      <c r="N18" s="9"/>
      <c r="P18" s="1"/>
    </row>
    <row r="19" s="2" customFormat="1" ht="142.5" spans="1:16">
      <c r="A19" s="9">
        <v>25</v>
      </c>
      <c r="B19" s="10">
        <v>45875</v>
      </c>
      <c r="C19" s="9" t="s">
        <v>30</v>
      </c>
      <c r="D19" s="9" cm="1">
        <f t="array" ref="D19">SUM(VALUE(SUBSTITUTE(_xlfn.TEXTAFTER(_xlfn.TEXTSPLIT(C19,CHAR(10)),"-",-1),"km","")))</f>
        <v>207.2</v>
      </c>
      <c r="E19" s="9">
        <f>98+116+34+42+50</f>
        <v>340</v>
      </c>
      <c r="F19" s="11">
        <f t="shared" si="0"/>
        <v>3.94495412844037</v>
      </c>
      <c r="G19" s="11">
        <v>4.3</v>
      </c>
      <c r="H19" s="8">
        <f t="shared" si="1"/>
        <v>817.394495412845</v>
      </c>
      <c r="I19" s="8">
        <f t="shared" si="2"/>
        <v>890.96</v>
      </c>
      <c r="J19" s="8">
        <v>3.5</v>
      </c>
      <c r="K19" s="8">
        <f t="shared" si="3"/>
        <v>725.2</v>
      </c>
      <c r="L19" s="7"/>
      <c r="M19" s="9"/>
      <c r="N19" s="9"/>
      <c r="P19" s="1"/>
    </row>
    <row r="20" s="3" customFormat="1" ht="99.75" spans="1:16">
      <c r="A20" s="9">
        <v>26</v>
      </c>
      <c r="B20" s="16"/>
      <c r="C20" s="7" t="s">
        <v>31</v>
      </c>
      <c r="D20" s="9" cm="1">
        <f t="array" ref="D20">SUM(VALUE(SUBSTITUTE(_xlfn.TEXTAFTER(_xlfn.TEXTSPLIT(C20,CHAR(10)),"-",-1),"km","")))</f>
        <v>239.4</v>
      </c>
      <c r="E20" s="7">
        <f>120+52+84+43</f>
        <v>299</v>
      </c>
      <c r="F20" s="8">
        <f t="shared" si="0"/>
        <v>3.94495412844037</v>
      </c>
      <c r="G20" s="8">
        <v>4.3</v>
      </c>
      <c r="H20" s="8">
        <f t="shared" si="1"/>
        <v>944.422018348625</v>
      </c>
      <c r="I20" s="8">
        <f t="shared" si="2"/>
        <v>1029.42</v>
      </c>
      <c r="J20" s="8">
        <v>3.5</v>
      </c>
      <c r="K20" s="8">
        <f t="shared" si="3"/>
        <v>837.9</v>
      </c>
      <c r="L20" s="7"/>
      <c r="M20" s="7"/>
      <c r="N20" s="7"/>
      <c r="P20" s="1"/>
    </row>
    <row r="21" s="3" customFormat="1" ht="57" spans="1:16">
      <c r="A21" s="9">
        <v>27</v>
      </c>
      <c r="B21" s="16"/>
      <c r="C21" s="7" t="s">
        <v>32</v>
      </c>
      <c r="D21" s="9" cm="1">
        <f t="array" ref="D21">SUM(VALUE(SUBSTITUTE(_xlfn.TEXTAFTER(_xlfn.TEXTSPLIT(C21,CHAR(10)),"-",-1),"km","")))</f>
        <v>210</v>
      </c>
      <c r="E21" s="7">
        <f>120+52+84+43</f>
        <v>299</v>
      </c>
      <c r="F21" s="8">
        <f t="shared" si="0"/>
        <v>3.94495412844037</v>
      </c>
      <c r="G21" s="8">
        <v>4.3</v>
      </c>
      <c r="H21" s="8">
        <f t="shared" si="1"/>
        <v>828.440366972478</v>
      </c>
      <c r="I21" s="8">
        <f t="shared" si="2"/>
        <v>903</v>
      </c>
      <c r="J21" s="8">
        <v>3.5</v>
      </c>
      <c r="K21" s="8">
        <f t="shared" si="3"/>
        <v>735</v>
      </c>
      <c r="L21" s="7"/>
      <c r="M21" s="7"/>
      <c r="N21" s="7"/>
      <c r="P21" s="1"/>
    </row>
    <row r="22" s="2" customFormat="1" ht="85.5" spans="1:16">
      <c r="A22" s="9"/>
      <c r="B22" s="10">
        <v>45876</v>
      </c>
      <c r="C22" s="9" t="s">
        <v>33</v>
      </c>
      <c r="D22" s="9" cm="1">
        <f t="array" ref="D22">SUM(VALUE(SUBSTITUTE(_xlfn.TEXTAFTER(_xlfn.TEXTSPLIT(C22,CHAR(10)),"-",-1),"km","")))</f>
        <v>370</v>
      </c>
      <c r="E22" s="9">
        <f>86+10+12+10+8</f>
        <v>126</v>
      </c>
      <c r="F22" s="11">
        <f t="shared" si="0"/>
        <v>3.76146788990826</v>
      </c>
      <c r="G22" s="11">
        <v>4.1</v>
      </c>
      <c r="H22" s="8">
        <f t="shared" si="1"/>
        <v>1391.74311926606</v>
      </c>
      <c r="I22" s="8">
        <f t="shared" si="2"/>
        <v>1517</v>
      </c>
      <c r="J22" s="8">
        <v>3.2</v>
      </c>
      <c r="K22" s="8">
        <f t="shared" si="3"/>
        <v>1184</v>
      </c>
      <c r="L22" s="7"/>
      <c r="M22" s="9"/>
      <c r="N22" s="9"/>
      <c r="P22" s="1"/>
    </row>
    <row r="23" s="2" customFormat="1" ht="85.5" spans="1:16">
      <c r="A23" s="9"/>
      <c r="B23" s="10"/>
      <c r="C23" s="9" t="s">
        <v>34</v>
      </c>
      <c r="D23" s="9" cm="1">
        <f t="array" ref="D23">SUM(VALUE(SUBSTITUTE(_xlfn.TEXTAFTER(_xlfn.TEXTSPLIT(C23,CHAR(10)),"-",-1),"km","")))</f>
        <v>347.1</v>
      </c>
      <c r="E23" s="9">
        <f>86+10+12+10+8</f>
        <v>126</v>
      </c>
      <c r="F23" s="11">
        <f t="shared" si="0"/>
        <v>3.76146788990826</v>
      </c>
      <c r="G23" s="11">
        <v>4.1</v>
      </c>
      <c r="H23" s="8">
        <f t="shared" si="1"/>
        <v>1305.60550458716</v>
      </c>
      <c r="I23" s="8">
        <f t="shared" si="2"/>
        <v>1423.11</v>
      </c>
      <c r="J23" s="8">
        <v>3.2</v>
      </c>
      <c r="K23" s="8">
        <f t="shared" si="3"/>
        <v>1110.72</v>
      </c>
      <c r="L23" s="7"/>
      <c r="M23" s="9"/>
      <c r="N23" s="9"/>
      <c r="P23" s="1"/>
    </row>
    <row r="24" s="2" customFormat="1" ht="99.75" spans="1:16">
      <c r="A24" s="9"/>
      <c r="B24" s="10"/>
      <c r="C24" s="9" t="s">
        <v>35</v>
      </c>
      <c r="D24" s="9" cm="1">
        <f t="array" ref="D24">SUM(VALUE(SUBSTITUTE(_xlfn.TEXTAFTER(_xlfn.TEXTSPLIT(C24,CHAR(10)),"-",-1),"km","")))</f>
        <v>298.2</v>
      </c>
      <c r="E24" s="9">
        <f>86+10+12+10+8</f>
        <v>126</v>
      </c>
      <c r="F24" s="11">
        <f t="shared" si="0"/>
        <v>3.94495412844037</v>
      </c>
      <c r="G24" s="11">
        <v>4.3</v>
      </c>
      <c r="H24" s="8">
        <f t="shared" si="1"/>
        <v>1176.38532110092</v>
      </c>
      <c r="I24" s="8">
        <f t="shared" si="2"/>
        <v>1282.26</v>
      </c>
      <c r="J24" s="8">
        <v>3.5</v>
      </c>
      <c r="K24" s="8">
        <f t="shared" si="3"/>
        <v>1043.7</v>
      </c>
      <c r="L24" s="7"/>
      <c r="M24" s="9"/>
      <c r="N24" s="9"/>
      <c r="P24" s="1"/>
    </row>
    <row r="25" s="2" customFormat="1" ht="85.5" spans="1:16">
      <c r="A25" s="9"/>
      <c r="B25" s="10"/>
      <c r="C25" s="9" t="s">
        <v>36</v>
      </c>
      <c r="D25" s="9" cm="1">
        <f t="array" ref="D25">SUM(VALUE(SUBSTITUTE(_xlfn.TEXTAFTER(_xlfn.TEXTSPLIT(C25,CHAR(10)),"-",-1),"km","")))</f>
        <v>249</v>
      </c>
      <c r="E25" s="9">
        <f>86+10+12+10+8</f>
        <v>126</v>
      </c>
      <c r="F25" s="11">
        <f t="shared" si="0"/>
        <v>3.94495412844037</v>
      </c>
      <c r="G25" s="11">
        <v>4.3</v>
      </c>
      <c r="H25" s="8">
        <f t="shared" si="1"/>
        <v>982.293577981652</v>
      </c>
      <c r="I25" s="8">
        <f t="shared" si="2"/>
        <v>1070.7</v>
      </c>
      <c r="J25" s="8">
        <v>3.5</v>
      </c>
      <c r="K25" s="8">
        <f t="shared" si="3"/>
        <v>871.5</v>
      </c>
      <c r="L25" s="7"/>
      <c r="M25" s="9"/>
      <c r="N25" s="9"/>
      <c r="P25" s="1"/>
    </row>
    <row r="26" ht="85.5" spans="1:14">
      <c r="A26" s="9">
        <v>34</v>
      </c>
      <c r="B26" s="10">
        <v>45877</v>
      </c>
      <c r="C26" s="9" t="s">
        <v>37</v>
      </c>
      <c r="D26" s="9" cm="1">
        <f t="array" ref="D26">SUM(VALUE(SUBSTITUTE(_xlfn.TEXTAFTER(_xlfn.TEXTSPLIT(C26,CHAR(10)),"-",-1),"km","")))</f>
        <v>134.7</v>
      </c>
      <c r="E26" s="9">
        <f>167+33+106</f>
        <v>306</v>
      </c>
      <c r="F26" s="11">
        <f t="shared" si="0"/>
        <v>4.12844036697248</v>
      </c>
      <c r="G26" s="11">
        <v>4.5</v>
      </c>
      <c r="H26" s="8">
        <f t="shared" si="1"/>
        <v>556.100917431193</v>
      </c>
      <c r="I26" s="8">
        <f t="shared" si="2"/>
        <v>606.15</v>
      </c>
      <c r="J26" s="8">
        <v>3.5</v>
      </c>
      <c r="K26" s="8">
        <f t="shared" si="3"/>
        <v>471.45</v>
      </c>
      <c r="L26" s="7"/>
      <c r="M26" s="9"/>
      <c r="N26" s="9"/>
    </row>
    <row r="27" ht="71.25" spans="1:14">
      <c r="A27" s="9">
        <v>35</v>
      </c>
      <c r="B27" s="10"/>
      <c r="C27" s="9" t="s">
        <v>38</v>
      </c>
      <c r="D27" s="9" cm="1">
        <f t="array" ref="D27">SUM(VALUE(SUBSTITUTE(_xlfn.TEXTAFTER(_xlfn.TEXTSPLIT(C27,CHAR(10)),"-",-1),"km","")))</f>
        <v>179</v>
      </c>
      <c r="E27" s="9">
        <f>127+59+16+9.5</f>
        <v>211.5</v>
      </c>
      <c r="F27" s="11">
        <f t="shared" si="0"/>
        <v>4.12844036697248</v>
      </c>
      <c r="G27" s="11">
        <v>4.5</v>
      </c>
      <c r="H27" s="8">
        <f t="shared" si="1"/>
        <v>738.990825688074</v>
      </c>
      <c r="I27" s="8">
        <f t="shared" si="2"/>
        <v>805.5</v>
      </c>
      <c r="J27" s="8">
        <v>3.5</v>
      </c>
      <c r="K27" s="8">
        <f t="shared" si="3"/>
        <v>626.5</v>
      </c>
      <c r="L27" s="7"/>
      <c r="M27" s="9"/>
      <c r="N27" s="9"/>
    </row>
    <row r="28" s="4" customFormat="1" ht="99.75" spans="1:16">
      <c r="A28" s="9">
        <v>36</v>
      </c>
      <c r="B28" s="16"/>
      <c r="C28" s="7" t="s">
        <v>39</v>
      </c>
      <c r="D28" s="9" cm="1">
        <f t="array" ref="D28">SUM(VALUE(SUBSTITUTE(_xlfn.TEXTAFTER(_xlfn.TEXTSPLIT(C28,CHAR(10)),"-",-1),"km","")))</f>
        <v>255</v>
      </c>
      <c r="E28" s="7">
        <f t="shared" ref="E28:E35" si="4">98+116+34+43</f>
        <v>291</v>
      </c>
      <c r="F28" s="8">
        <f t="shared" si="0"/>
        <v>3.94495412844037</v>
      </c>
      <c r="G28" s="8">
        <v>4.3</v>
      </c>
      <c r="H28" s="8">
        <f t="shared" si="1"/>
        <v>1005.96330275229</v>
      </c>
      <c r="I28" s="8">
        <f t="shared" si="2"/>
        <v>1096.5</v>
      </c>
      <c r="J28" s="8">
        <v>3.5</v>
      </c>
      <c r="K28" s="8">
        <f t="shared" si="3"/>
        <v>892.5</v>
      </c>
      <c r="L28" s="7"/>
      <c r="M28" s="7"/>
      <c r="N28" s="7"/>
      <c r="P28" s="1"/>
    </row>
    <row r="29" s="4" customFormat="1" ht="142.5" spans="1:16">
      <c r="A29" s="9"/>
      <c r="B29" s="16"/>
      <c r="C29" s="7" t="s">
        <v>40</v>
      </c>
      <c r="D29" s="9" cm="1">
        <f t="array" ref="D29">SUM(VALUE(SUBSTITUTE(_xlfn.TEXTAFTER(_xlfn.TEXTSPLIT(C29,CHAR(10)),"-",-1),"km","")))</f>
        <v>256</v>
      </c>
      <c r="E29" s="7">
        <f t="shared" si="4"/>
        <v>291</v>
      </c>
      <c r="F29" s="8">
        <f t="shared" si="0"/>
        <v>3.94495412844037</v>
      </c>
      <c r="G29" s="8">
        <v>4.3</v>
      </c>
      <c r="H29" s="8">
        <f t="shared" si="1"/>
        <v>1009.90825688073</v>
      </c>
      <c r="I29" s="8">
        <f t="shared" si="2"/>
        <v>1100.8</v>
      </c>
      <c r="J29" s="8">
        <v>3.5</v>
      </c>
      <c r="K29" s="8">
        <f t="shared" si="3"/>
        <v>896</v>
      </c>
      <c r="L29" s="7"/>
      <c r="M29" s="7"/>
      <c r="N29" s="7"/>
      <c r="P29" s="1"/>
    </row>
    <row r="30" s="4" customFormat="1" ht="28" customHeight="1" spans="1:16">
      <c r="A30" s="9"/>
      <c r="B30" s="16"/>
      <c r="C30" s="7" t="s">
        <v>41</v>
      </c>
      <c r="D30" s="9" cm="1">
        <f t="array" ref="D30">SUM(VALUE(SUBSTITUTE(_xlfn.TEXTAFTER(_xlfn.TEXTSPLIT(C30,CHAR(10)),"-",-1),"km","")))</f>
        <v>168</v>
      </c>
      <c r="E30" s="7">
        <f t="shared" si="4"/>
        <v>291</v>
      </c>
      <c r="F30" s="8">
        <f t="shared" si="0"/>
        <v>4.12844036697248</v>
      </c>
      <c r="G30" s="8">
        <v>4.5</v>
      </c>
      <c r="H30" s="8">
        <f t="shared" si="1"/>
        <v>693.577981651377</v>
      </c>
      <c r="I30" s="8">
        <f t="shared" si="2"/>
        <v>756</v>
      </c>
      <c r="J30" s="8">
        <v>3.5</v>
      </c>
      <c r="K30" s="8">
        <f t="shared" si="3"/>
        <v>588</v>
      </c>
      <c r="L30" s="7"/>
      <c r="M30" s="7"/>
      <c r="N30" s="7"/>
      <c r="P30" s="1"/>
    </row>
    <row r="31" s="4" customFormat="1" ht="28" customHeight="1" spans="1:16">
      <c r="A31" s="9"/>
      <c r="B31" s="16"/>
      <c r="C31" s="7" t="s">
        <v>41</v>
      </c>
      <c r="D31" s="9" cm="1">
        <f t="array" ref="D31">SUM(VALUE(SUBSTITUTE(_xlfn.TEXTAFTER(_xlfn.TEXTSPLIT(C31,CHAR(10)),"-",-1),"km","")))</f>
        <v>168</v>
      </c>
      <c r="E31" s="7">
        <f t="shared" si="4"/>
        <v>291</v>
      </c>
      <c r="F31" s="8">
        <f t="shared" si="0"/>
        <v>4.12844036697248</v>
      </c>
      <c r="G31" s="8">
        <v>4.5</v>
      </c>
      <c r="H31" s="8">
        <f t="shared" si="1"/>
        <v>693.577981651377</v>
      </c>
      <c r="I31" s="8">
        <f t="shared" si="2"/>
        <v>756</v>
      </c>
      <c r="J31" s="8">
        <v>3.5</v>
      </c>
      <c r="K31" s="8">
        <f t="shared" si="3"/>
        <v>588</v>
      </c>
      <c r="L31" s="7"/>
      <c r="M31" s="7"/>
      <c r="N31" s="7"/>
      <c r="P31" s="1"/>
    </row>
    <row r="32" ht="99.75" spans="1:14">
      <c r="A32" s="9">
        <v>38</v>
      </c>
      <c r="B32" s="17">
        <v>45878</v>
      </c>
      <c r="C32" s="9" t="s">
        <v>42</v>
      </c>
      <c r="D32" s="9" cm="1">
        <f t="array" ref="D32">SUM(VALUE(SUBSTITUTE(_xlfn.TEXTAFTER(_xlfn.TEXTSPLIT(C32,CHAR(10)),"-",-1),"km","")))</f>
        <v>279.4</v>
      </c>
      <c r="E32" s="7">
        <f t="shared" si="4"/>
        <v>291</v>
      </c>
      <c r="F32" s="8">
        <f t="shared" si="0"/>
        <v>3.94495412844037</v>
      </c>
      <c r="G32" s="8">
        <v>4.3</v>
      </c>
      <c r="H32" s="8">
        <f t="shared" si="1"/>
        <v>1102.22018348624</v>
      </c>
      <c r="I32" s="8">
        <f t="shared" si="2"/>
        <v>1201.42</v>
      </c>
      <c r="J32" s="8">
        <v>3.5</v>
      </c>
      <c r="K32" s="8">
        <f t="shared" si="3"/>
        <v>977.9</v>
      </c>
      <c r="L32" s="7"/>
      <c r="M32" s="9"/>
      <c r="N32" s="9"/>
    </row>
    <row r="33" ht="114" spans="1:14">
      <c r="A33" s="9"/>
      <c r="B33" s="18"/>
      <c r="C33" s="9" t="s">
        <v>43</v>
      </c>
      <c r="D33" s="9" cm="1">
        <f t="array" ref="D33">SUM(VALUE(SUBSTITUTE(_xlfn.TEXTAFTER(_xlfn.TEXTSPLIT(C33,CHAR(10)),"-",-1),"km","")))</f>
        <v>321.8</v>
      </c>
      <c r="E33" s="7">
        <f t="shared" si="4"/>
        <v>291</v>
      </c>
      <c r="F33" s="8">
        <f t="shared" si="0"/>
        <v>3.76146788990826</v>
      </c>
      <c r="G33" s="8">
        <v>4.1</v>
      </c>
      <c r="H33" s="8">
        <f t="shared" si="1"/>
        <v>1210.44036697248</v>
      </c>
      <c r="I33" s="8">
        <f t="shared" si="2"/>
        <v>1319.38</v>
      </c>
      <c r="J33" s="8">
        <v>3.2</v>
      </c>
      <c r="K33" s="8">
        <f t="shared" si="3"/>
        <v>1029.76</v>
      </c>
      <c r="L33" s="7"/>
      <c r="M33" s="9"/>
      <c r="N33" s="9"/>
    </row>
    <row r="34" s="4" customFormat="1" ht="99.75" spans="1:14">
      <c r="A34" s="7"/>
      <c r="B34" s="19"/>
      <c r="C34" s="7" t="s">
        <v>44</v>
      </c>
      <c r="D34" s="7" cm="1">
        <f t="array" ref="D34">SUM(VALUE(SUBSTITUTE(_xlfn.TEXTAFTER(_xlfn.TEXTSPLIT(C34,CHAR(10)),"-",-1),"km","")))</f>
        <v>261</v>
      </c>
      <c r="E34" s="7">
        <f t="shared" si="4"/>
        <v>291</v>
      </c>
      <c r="F34" s="8">
        <f t="shared" si="0"/>
        <v>3.94495412844037</v>
      </c>
      <c r="G34" s="8">
        <v>4.3</v>
      </c>
      <c r="H34" s="8">
        <f t="shared" si="1"/>
        <v>1029.63302752294</v>
      </c>
      <c r="I34" s="8">
        <f t="shared" si="2"/>
        <v>1122.3</v>
      </c>
      <c r="J34" s="8">
        <v>3.5</v>
      </c>
      <c r="K34" s="8">
        <f t="shared" si="3"/>
        <v>913.5</v>
      </c>
      <c r="L34" s="7"/>
      <c r="M34" s="7"/>
      <c r="N34" s="7"/>
    </row>
    <row r="35" ht="85.5" spans="1:14">
      <c r="A35" s="9"/>
      <c r="B35" s="18"/>
      <c r="C35" s="9" t="s">
        <v>45</v>
      </c>
      <c r="D35" s="9" cm="1">
        <f t="array" ref="D35">SUM(VALUE(SUBSTITUTE(_xlfn.TEXTAFTER(_xlfn.TEXTSPLIT(C35,CHAR(10)),"-",-1),"km","")))</f>
        <v>328</v>
      </c>
      <c r="E35" s="7">
        <f t="shared" si="4"/>
        <v>291</v>
      </c>
      <c r="F35" s="8">
        <f t="shared" si="0"/>
        <v>3.76146788990826</v>
      </c>
      <c r="G35" s="8">
        <v>4.1</v>
      </c>
      <c r="H35" s="8">
        <f t="shared" si="1"/>
        <v>1233.76146788991</v>
      </c>
      <c r="I35" s="8">
        <f t="shared" si="2"/>
        <v>1344.8</v>
      </c>
      <c r="J35" s="8">
        <v>3.2</v>
      </c>
      <c r="K35" s="8">
        <f t="shared" si="3"/>
        <v>1049.6</v>
      </c>
      <c r="L35" s="7"/>
      <c r="M35" s="9"/>
      <c r="N35" s="9"/>
    </row>
    <row r="36" ht="128.25" spans="1:14">
      <c r="A36" s="9">
        <v>41</v>
      </c>
      <c r="B36" s="10">
        <v>45879</v>
      </c>
      <c r="C36" s="9" t="s">
        <v>46</v>
      </c>
      <c r="D36" s="9" cm="1">
        <f t="array" ref="D36">SUM(VALUE(SUBSTITUTE(_xlfn.TEXTAFTER(_xlfn.TEXTSPLIT(C36,CHAR(10)),"-",-1),"km","")))</f>
        <v>395.9</v>
      </c>
      <c r="E36" s="9">
        <f>98+48+52</f>
        <v>198</v>
      </c>
      <c r="F36" s="11">
        <f t="shared" si="0"/>
        <v>3.76146788990826</v>
      </c>
      <c r="G36" s="11">
        <v>4.1</v>
      </c>
      <c r="H36" s="8">
        <f t="shared" si="1"/>
        <v>1489.16513761468</v>
      </c>
      <c r="I36" s="8">
        <f t="shared" si="2"/>
        <v>1623.19</v>
      </c>
      <c r="J36" s="8">
        <v>3.2</v>
      </c>
      <c r="K36" s="8">
        <f t="shared" si="3"/>
        <v>1266.88</v>
      </c>
      <c r="L36" s="7"/>
      <c r="M36" s="9"/>
      <c r="N36" s="9"/>
    </row>
    <row r="37" ht="85.5" spans="1:14">
      <c r="A37" s="9">
        <v>42</v>
      </c>
      <c r="B37" s="10"/>
      <c r="C37" s="9" t="s">
        <v>47</v>
      </c>
      <c r="D37" s="9" cm="1">
        <f t="array" ref="D37">SUM(VALUE(SUBSTITUTE(_xlfn.TEXTAFTER(_xlfn.TEXTSPLIT(C37,CHAR(10)),"-",-1),"km","")))</f>
        <v>137.7</v>
      </c>
      <c r="E37" s="9">
        <f>98+133+16</f>
        <v>247</v>
      </c>
      <c r="F37" s="11">
        <f t="shared" si="0"/>
        <v>4.12844036697248</v>
      </c>
      <c r="G37" s="11">
        <v>4.5</v>
      </c>
      <c r="H37" s="8">
        <f t="shared" si="1"/>
        <v>568.486238532111</v>
      </c>
      <c r="I37" s="8">
        <f t="shared" si="2"/>
        <v>619.65</v>
      </c>
      <c r="J37" s="8">
        <v>3.5</v>
      </c>
      <c r="K37" s="8">
        <f t="shared" si="3"/>
        <v>481.95</v>
      </c>
      <c r="L37" s="7"/>
      <c r="M37" s="9"/>
      <c r="N37" s="9"/>
    </row>
    <row r="38" ht="114" spans="1:14">
      <c r="A38" s="9">
        <v>47</v>
      </c>
      <c r="B38" s="17">
        <v>45880</v>
      </c>
      <c r="C38" s="9" t="s">
        <v>48</v>
      </c>
      <c r="D38" s="9" cm="1">
        <f t="array" ref="D38">SUM(VALUE(SUBSTITUTE(_xlfn.TEXTAFTER(_xlfn.TEXTSPLIT(C38,CHAR(10)),"-",-1),"km","")))</f>
        <v>272</v>
      </c>
      <c r="E38" s="9">
        <f>171+34+43</f>
        <v>248</v>
      </c>
      <c r="F38" s="11">
        <f t="shared" ref="F38:F88" si="5">G38/1.09</f>
        <v>3.94495412844037</v>
      </c>
      <c r="G38" s="11">
        <v>4.3</v>
      </c>
      <c r="H38" s="8">
        <f t="shared" ref="H38:H88" si="6">D38*F38</f>
        <v>1073.02752293578</v>
      </c>
      <c r="I38" s="8">
        <f t="shared" ref="I38:I88" si="7">D38*G38</f>
        <v>1169.6</v>
      </c>
      <c r="J38" s="8">
        <v>3.5</v>
      </c>
      <c r="K38" s="8">
        <f t="shared" ref="K38:K88" si="8">D38*J38</f>
        <v>952</v>
      </c>
      <c r="L38" s="7"/>
      <c r="M38" s="9"/>
      <c r="N38" s="9"/>
    </row>
    <row r="39" ht="128.25" spans="1:14">
      <c r="A39" s="9">
        <v>48</v>
      </c>
      <c r="B39" s="18"/>
      <c r="C39" s="9" t="s">
        <v>49</v>
      </c>
      <c r="D39" s="9" cm="1">
        <f t="array" ref="D39">SUM(VALUE(SUBSTITUTE(_xlfn.TEXTAFTER(_xlfn.TEXTSPLIT(C39,CHAR(10)),"-",-1),"km","")))</f>
        <v>304.3</v>
      </c>
      <c r="E39" s="9">
        <f>171+34+43</f>
        <v>248</v>
      </c>
      <c r="F39" s="11">
        <f t="shared" si="5"/>
        <v>3.76146788990826</v>
      </c>
      <c r="G39" s="11">
        <v>4.1</v>
      </c>
      <c r="H39" s="8">
        <f t="shared" si="6"/>
        <v>1144.61467889908</v>
      </c>
      <c r="I39" s="8">
        <f t="shared" si="7"/>
        <v>1247.63</v>
      </c>
      <c r="J39" s="8">
        <v>3.2</v>
      </c>
      <c r="K39" s="8">
        <f t="shared" si="8"/>
        <v>973.76</v>
      </c>
      <c r="L39" s="7"/>
      <c r="M39" s="9"/>
      <c r="N39" s="9"/>
    </row>
    <row r="40" ht="71.25" spans="1:14">
      <c r="A40" s="9">
        <v>49</v>
      </c>
      <c r="B40" s="18"/>
      <c r="C40" s="9" t="s">
        <v>50</v>
      </c>
      <c r="D40" s="9" cm="1">
        <f t="array" ref="D40">SUM(VALUE(SUBSTITUTE(_xlfn.TEXTAFTER(_xlfn.TEXTSPLIT(C40,CHAR(10)),"-",-1),"km","")))</f>
        <v>275</v>
      </c>
      <c r="E40" s="9">
        <f>97+62+17</f>
        <v>176</v>
      </c>
      <c r="F40" s="11">
        <f t="shared" si="5"/>
        <v>3.94495412844037</v>
      </c>
      <c r="G40" s="11">
        <v>4.3</v>
      </c>
      <c r="H40" s="8">
        <f t="shared" si="6"/>
        <v>1084.8623853211</v>
      </c>
      <c r="I40" s="8">
        <f t="shared" si="7"/>
        <v>1182.5</v>
      </c>
      <c r="J40" s="8">
        <v>3.5</v>
      </c>
      <c r="K40" s="8">
        <f t="shared" si="8"/>
        <v>962.5</v>
      </c>
      <c r="L40" s="7"/>
      <c r="M40" s="9"/>
      <c r="N40" s="9"/>
    </row>
    <row r="41" ht="71.25" spans="1:14">
      <c r="A41" s="9">
        <v>50</v>
      </c>
      <c r="B41" s="18"/>
      <c r="C41" s="9" t="s">
        <v>51</v>
      </c>
      <c r="D41" s="9" cm="1">
        <f t="array" ref="D41">SUM(VALUE(SUBSTITUTE(_xlfn.TEXTAFTER(_xlfn.TEXTSPLIT(C41,CHAR(10)),"-",-1),"km","")))</f>
        <v>159.4</v>
      </c>
      <c r="E41" s="9">
        <f>86+10+12+10</f>
        <v>118</v>
      </c>
      <c r="F41" s="11">
        <f t="shared" si="5"/>
        <v>4.12844036697248</v>
      </c>
      <c r="G41" s="11">
        <v>4.5</v>
      </c>
      <c r="H41" s="8">
        <f t="shared" si="6"/>
        <v>658.073394495413</v>
      </c>
      <c r="I41" s="8">
        <f t="shared" si="7"/>
        <v>717.3</v>
      </c>
      <c r="J41" s="8">
        <v>3.5</v>
      </c>
      <c r="K41" s="8">
        <f t="shared" si="8"/>
        <v>557.9</v>
      </c>
      <c r="L41" s="7"/>
      <c r="M41" s="9"/>
      <c r="N41" s="9"/>
    </row>
    <row r="42" ht="85.5" spans="1:14">
      <c r="A42" s="9">
        <v>52</v>
      </c>
      <c r="B42" s="17">
        <v>45881</v>
      </c>
      <c r="C42" s="9" t="s">
        <v>52</v>
      </c>
      <c r="D42" s="9" cm="1">
        <f t="array" ref="D42">SUM(VALUE(SUBSTITUTE(_xlfn.TEXTAFTER(_xlfn.TEXTSPLIT(C42,CHAR(10)),"-",-1),"km","")))</f>
        <v>319.2</v>
      </c>
      <c r="E42" s="9">
        <f>127+59+33+42+50</f>
        <v>311</v>
      </c>
      <c r="F42" s="11">
        <f t="shared" si="5"/>
        <v>3.76146788990826</v>
      </c>
      <c r="G42" s="11">
        <v>4.1</v>
      </c>
      <c r="H42" s="8">
        <f t="shared" si="6"/>
        <v>1200.66055045872</v>
      </c>
      <c r="I42" s="8">
        <f t="shared" si="7"/>
        <v>1308.72</v>
      </c>
      <c r="J42" s="8">
        <v>3.2</v>
      </c>
      <c r="K42" s="8">
        <f t="shared" si="8"/>
        <v>1021.44</v>
      </c>
      <c r="L42" s="7"/>
      <c r="M42" s="9"/>
      <c r="N42" s="9"/>
    </row>
    <row r="43" ht="42.75" spans="1:14">
      <c r="A43" s="9">
        <v>53</v>
      </c>
      <c r="B43" s="18"/>
      <c r="C43" s="9" t="s">
        <v>53</v>
      </c>
      <c r="D43" s="9" cm="1">
        <f t="array" ref="D43">SUM(VALUE(SUBSTITUTE(_xlfn.TEXTAFTER(_xlfn.TEXTSPLIT(C43,CHAR(10)),"-",-1),"km","")))</f>
        <v>312</v>
      </c>
      <c r="E43" s="9">
        <f>98+136+9.5+59+47</f>
        <v>349.5</v>
      </c>
      <c r="F43" s="11">
        <f t="shared" si="5"/>
        <v>3.76146788990826</v>
      </c>
      <c r="G43" s="11">
        <v>4.1</v>
      </c>
      <c r="H43" s="8">
        <f t="shared" si="6"/>
        <v>1173.57798165138</v>
      </c>
      <c r="I43" s="8">
        <f t="shared" si="7"/>
        <v>1279.2</v>
      </c>
      <c r="J43" s="8">
        <v>3.2</v>
      </c>
      <c r="K43" s="8">
        <f t="shared" si="8"/>
        <v>998.4</v>
      </c>
      <c r="L43" s="7"/>
      <c r="M43" s="9"/>
      <c r="N43" s="9"/>
    </row>
    <row r="44" customFormat="1" ht="85.5" spans="1:16">
      <c r="A44" s="9"/>
      <c r="B44" s="19"/>
      <c r="C44" s="7" t="s">
        <v>54</v>
      </c>
      <c r="D44" s="9" cm="1">
        <f t="array" ref="D44">SUM(VALUE(SUBSTITUTE(_xlfn.TEXTAFTER(_xlfn.TEXTSPLIT(C44,CHAR(10)),"-",-1),"km","")))</f>
        <v>303</v>
      </c>
      <c r="E44" s="9">
        <f>98+136+9.5+59+47</f>
        <v>349.5</v>
      </c>
      <c r="F44" s="11">
        <f t="shared" si="5"/>
        <v>3.76146788990826</v>
      </c>
      <c r="G44" s="11">
        <v>4.1</v>
      </c>
      <c r="H44" s="8">
        <f t="shared" si="6"/>
        <v>1139.7247706422</v>
      </c>
      <c r="I44" s="8">
        <f t="shared" si="7"/>
        <v>1242.3</v>
      </c>
      <c r="J44" s="8">
        <v>3.2</v>
      </c>
      <c r="K44" s="8">
        <f t="shared" si="8"/>
        <v>969.6</v>
      </c>
      <c r="L44" s="7"/>
      <c r="M44" s="9"/>
      <c r="N44" s="9"/>
      <c r="P44" s="1"/>
    </row>
    <row r="45" s="4" customFormat="1" ht="99.75" spans="1:16">
      <c r="A45" s="9">
        <v>54</v>
      </c>
      <c r="B45" s="19"/>
      <c r="C45" s="7" t="s">
        <v>55</v>
      </c>
      <c r="D45" s="9" cm="1">
        <f t="array" ref="D45">SUM(VALUE(SUBSTITUTE(_xlfn.TEXTAFTER(_xlfn.TEXTSPLIT(C45,CHAR(10)),"-",-1),"km","")))</f>
        <v>300.3</v>
      </c>
      <c r="E45" s="9">
        <f>98+136+9.5+59+47</f>
        <v>349.5</v>
      </c>
      <c r="F45" s="11">
        <f t="shared" si="5"/>
        <v>3.94495412844037</v>
      </c>
      <c r="G45" s="11">
        <v>4.3</v>
      </c>
      <c r="H45" s="8">
        <f t="shared" si="6"/>
        <v>1184.66972477064</v>
      </c>
      <c r="I45" s="8">
        <f t="shared" si="7"/>
        <v>1291.29</v>
      </c>
      <c r="J45" s="8">
        <v>3.5</v>
      </c>
      <c r="K45" s="8">
        <f t="shared" si="8"/>
        <v>1051.05</v>
      </c>
      <c r="L45" s="7"/>
      <c r="M45" s="7"/>
      <c r="N45" s="7"/>
      <c r="P45" s="1"/>
    </row>
    <row r="46" ht="156.75" spans="1:14">
      <c r="A46" s="9">
        <v>55</v>
      </c>
      <c r="B46" s="13"/>
      <c r="C46" s="9" t="s">
        <v>56</v>
      </c>
      <c r="D46" s="9" cm="1">
        <f t="array" ref="D46">SUM(VALUE(SUBSTITUTE(_xlfn.TEXTAFTER(_xlfn.TEXTSPLIT(C46,CHAR(10)),"-",-1),"km","")))</f>
        <v>526</v>
      </c>
      <c r="E46" s="9">
        <f>55+132+32+4.5+6.7+4.3</f>
        <v>234.5</v>
      </c>
      <c r="F46" s="11">
        <f t="shared" si="5"/>
        <v>3.76146788990826</v>
      </c>
      <c r="G46" s="11">
        <v>4.1</v>
      </c>
      <c r="H46" s="8">
        <f t="shared" si="6"/>
        <v>1978.53211009174</v>
      </c>
      <c r="I46" s="8">
        <f t="shared" si="7"/>
        <v>2156.6</v>
      </c>
      <c r="J46" s="8">
        <v>3.2</v>
      </c>
      <c r="K46" s="8">
        <f t="shared" si="8"/>
        <v>1683.2</v>
      </c>
      <c r="L46" s="7"/>
      <c r="M46" s="9"/>
      <c r="N46" s="9"/>
    </row>
    <row r="47" ht="99.75" spans="1:14">
      <c r="A47" s="9">
        <v>56</v>
      </c>
      <c r="B47" s="17">
        <v>45882</v>
      </c>
      <c r="C47" s="9" t="s">
        <v>57</v>
      </c>
      <c r="D47" s="9" cm="1">
        <f t="array" ref="D47">SUM(VALUE(SUBSTITUTE(_xlfn.TEXTAFTER(_xlfn.TEXTSPLIT(C47,CHAR(10)),"-",-1),"km","")))</f>
        <v>202</v>
      </c>
      <c r="E47" s="9">
        <f>35+67+10+12+10+8</f>
        <v>142</v>
      </c>
      <c r="F47" s="11">
        <f t="shared" si="5"/>
        <v>3.94495412844037</v>
      </c>
      <c r="G47" s="11">
        <v>4.3</v>
      </c>
      <c r="H47" s="8">
        <f t="shared" si="6"/>
        <v>796.880733944955</v>
      </c>
      <c r="I47" s="8">
        <f t="shared" si="7"/>
        <v>868.6</v>
      </c>
      <c r="J47" s="8">
        <v>3.5</v>
      </c>
      <c r="K47" s="8">
        <f t="shared" si="8"/>
        <v>707</v>
      </c>
      <c r="L47" s="7"/>
      <c r="M47" s="9"/>
      <c r="N47" s="9"/>
    </row>
    <row r="48" ht="114" spans="1:14">
      <c r="A48" s="9">
        <v>57</v>
      </c>
      <c r="B48" s="18"/>
      <c r="C48" s="9" t="s">
        <v>58</v>
      </c>
      <c r="D48" s="9" cm="1">
        <f t="array" ref="D48">SUM(VALUE(SUBSTITUTE(_xlfn.TEXTAFTER(_xlfn.TEXTSPLIT(C48,CHAR(10)),"-",-1),"km","")))</f>
        <v>252</v>
      </c>
      <c r="E48" s="9">
        <f>35+67+10+12+10+8</f>
        <v>142</v>
      </c>
      <c r="F48" s="11">
        <f t="shared" si="5"/>
        <v>3.94495412844037</v>
      </c>
      <c r="G48" s="11">
        <v>4.3</v>
      </c>
      <c r="H48" s="8">
        <f t="shared" si="6"/>
        <v>994.128440366973</v>
      </c>
      <c r="I48" s="8">
        <f t="shared" si="7"/>
        <v>1083.6</v>
      </c>
      <c r="J48" s="8">
        <v>3.5</v>
      </c>
      <c r="K48" s="8">
        <f t="shared" si="8"/>
        <v>882</v>
      </c>
      <c r="L48" s="7"/>
      <c r="M48" s="9"/>
      <c r="N48" s="9"/>
    </row>
    <row r="49" ht="85.5" spans="1:14">
      <c r="A49" s="9"/>
      <c r="B49" s="18"/>
      <c r="C49" s="9" t="s">
        <v>59</v>
      </c>
      <c r="D49" s="9" cm="1">
        <f t="array" ref="D49">SUM(VALUE(SUBSTITUTE(_xlfn.TEXTAFTER(_xlfn.TEXTSPLIT(C49,CHAR(10)),"-",-1),"km","")))</f>
        <v>210</v>
      </c>
      <c r="E49" s="9">
        <f>35+67+10+12+10+8</f>
        <v>142</v>
      </c>
      <c r="F49" s="11">
        <f t="shared" si="5"/>
        <v>3.94495412844037</v>
      </c>
      <c r="G49" s="11">
        <v>4.3</v>
      </c>
      <c r="H49" s="8">
        <f t="shared" si="6"/>
        <v>828.440366972478</v>
      </c>
      <c r="I49" s="8">
        <f t="shared" si="7"/>
        <v>903</v>
      </c>
      <c r="J49" s="8">
        <v>3.5</v>
      </c>
      <c r="K49" s="8">
        <f t="shared" si="8"/>
        <v>735</v>
      </c>
      <c r="L49" s="7"/>
      <c r="M49" s="9"/>
      <c r="N49" s="9"/>
    </row>
    <row r="50" ht="114" spans="1:14">
      <c r="A50" s="9">
        <v>59</v>
      </c>
      <c r="B50" s="17">
        <v>45883</v>
      </c>
      <c r="C50" s="9" t="s">
        <v>60</v>
      </c>
      <c r="D50" s="9" cm="1">
        <f t="array" ref="D50">SUM(VALUE(SUBSTITUTE(_xlfn.TEXTAFTER(_xlfn.TEXTSPLIT(C50,CHAR(10)),"-",-1),"km","")))</f>
        <v>356.3</v>
      </c>
      <c r="E50" s="9">
        <f>180+28+33+42+50</f>
        <v>333</v>
      </c>
      <c r="F50" s="11">
        <f t="shared" si="5"/>
        <v>3.76146788990826</v>
      </c>
      <c r="G50" s="11">
        <v>4.1</v>
      </c>
      <c r="H50" s="8">
        <f t="shared" si="6"/>
        <v>1340.21100917431</v>
      </c>
      <c r="I50" s="8">
        <f t="shared" si="7"/>
        <v>1460.83</v>
      </c>
      <c r="J50" s="8">
        <v>3.2</v>
      </c>
      <c r="K50" s="8">
        <f t="shared" si="8"/>
        <v>1140.16</v>
      </c>
      <c r="L50" s="7"/>
      <c r="M50" s="9"/>
      <c r="N50" s="9"/>
    </row>
    <row r="51" ht="114" spans="1:14">
      <c r="A51" s="9">
        <v>60</v>
      </c>
      <c r="B51" s="18"/>
      <c r="C51" s="9" t="s">
        <v>61</v>
      </c>
      <c r="D51" s="9" cm="1">
        <f t="array" ref="D51">SUM(VALUE(SUBSTITUTE(_xlfn.TEXTAFTER(_xlfn.TEXTSPLIT(C51,CHAR(10)),"-",-1),"km","")))</f>
        <v>305.6</v>
      </c>
      <c r="E51" s="9">
        <f>98+48+95+9.5+59+47</f>
        <v>356.5</v>
      </c>
      <c r="F51" s="11">
        <f t="shared" si="5"/>
        <v>3.76146788990826</v>
      </c>
      <c r="G51" s="11">
        <v>4.1</v>
      </c>
      <c r="H51" s="8">
        <f t="shared" si="6"/>
        <v>1149.50458715596</v>
      </c>
      <c r="I51" s="8">
        <f t="shared" si="7"/>
        <v>1252.96</v>
      </c>
      <c r="J51" s="8">
        <v>3.2</v>
      </c>
      <c r="K51" s="8">
        <f t="shared" si="8"/>
        <v>977.92</v>
      </c>
      <c r="L51" s="7"/>
      <c r="M51" s="9"/>
      <c r="N51" s="9"/>
    </row>
    <row r="52" ht="85.5" spans="1:14">
      <c r="A52" s="9"/>
      <c r="B52" s="18"/>
      <c r="C52" s="9" t="s">
        <v>62</v>
      </c>
      <c r="D52" s="9" cm="1">
        <f t="array" ref="D52">SUM(VALUE(SUBSTITUTE(_xlfn.TEXTAFTER(_xlfn.TEXTSPLIT(C52,CHAR(10)),"-",-1),"km","")))</f>
        <v>329</v>
      </c>
      <c r="E52" s="9">
        <f>98+48+95+9.5+59+47</f>
        <v>356.5</v>
      </c>
      <c r="F52" s="11">
        <f t="shared" si="5"/>
        <v>3.76146788990826</v>
      </c>
      <c r="G52" s="11">
        <v>4.1</v>
      </c>
      <c r="H52" s="8">
        <f t="shared" si="6"/>
        <v>1237.52293577982</v>
      </c>
      <c r="I52" s="8">
        <f t="shared" si="7"/>
        <v>1348.9</v>
      </c>
      <c r="J52" s="8">
        <v>3.2</v>
      </c>
      <c r="K52" s="8">
        <f t="shared" si="8"/>
        <v>1052.8</v>
      </c>
      <c r="L52" s="7"/>
      <c r="M52" s="9"/>
      <c r="N52" s="9"/>
    </row>
    <row r="53" ht="114" spans="1:14">
      <c r="A53" s="9">
        <v>61</v>
      </c>
      <c r="B53" s="18"/>
      <c r="C53" s="9" t="s">
        <v>63</v>
      </c>
      <c r="D53" s="9" cm="1">
        <f t="array" ref="D53">SUM(VALUE(SUBSTITUTE(_xlfn.TEXTAFTER(_xlfn.TEXTSPLIT(C53,CHAR(10)),"-",-1),"km","")))</f>
        <v>278.9</v>
      </c>
      <c r="E53" s="9">
        <f>98+48+95+9.5+59+47</f>
        <v>356.5</v>
      </c>
      <c r="F53" s="11">
        <f t="shared" si="5"/>
        <v>3.94495412844037</v>
      </c>
      <c r="G53" s="11">
        <v>4.3</v>
      </c>
      <c r="H53" s="8">
        <f t="shared" si="6"/>
        <v>1100.24770642202</v>
      </c>
      <c r="I53" s="8">
        <f t="shared" si="7"/>
        <v>1199.27</v>
      </c>
      <c r="J53" s="8">
        <v>3.5</v>
      </c>
      <c r="K53" s="8">
        <f t="shared" si="8"/>
        <v>976.15</v>
      </c>
      <c r="L53" s="7"/>
      <c r="M53" s="9"/>
      <c r="N53" s="9"/>
    </row>
    <row r="54" ht="99.75" spans="1:14">
      <c r="A54" s="9">
        <v>63</v>
      </c>
      <c r="B54" s="17">
        <v>45884</v>
      </c>
      <c r="C54" s="9" t="s">
        <v>64</v>
      </c>
      <c r="D54" s="9" cm="1">
        <f t="array" ref="D54">SUM(VALUE(SUBSTITUTE(_xlfn.TEXTAFTER(_xlfn.TEXTSPLIT(C54,CHAR(10)),"-",-1),"km","")))</f>
        <v>225</v>
      </c>
      <c r="E54" s="9">
        <f>98+48+95+9.5+59+47</f>
        <v>356.5</v>
      </c>
      <c r="F54" s="11">
        <f t="shared" si="5"/>
        <v>3.94495412844037</v>
      </c>
      <c r="G54" s="11">
        <v>4.3</v>
      </c>
      <c r="H54" s="8">
        <f t="shared" si="6"/>
        <v>887.614678899083</v>
      </c>
      <c r="I54" s="8">
        <f t="shared" si="7"/>
        <v>967.5</v>
      </c>
      <c r="J54" s="8">
        <v>3.5</v>
      </c>
      <c r="K54" s="8">
        <f t="shared" si="8"/>
        <v>787.5</v>
      </c>
      <c r="L54" s="7"/>
      <c r="M54" s="9"/>
      <c r="N54" s="9"/>
    </row>
    <row r="55" ht="85.5" spans="1:14">
      <c r="A55" s="9">
        <v>64</v>
      </c>
      <c r="B55" s="18"/>
      <c r="C55" s="9" t="s">
        <v>65</v>
      </c>
      <c r="D55" s="9" cm="1">
        <f t="array" ref="D55">SUM(VALUE(SUBSTITUTE(_xlfn.TEXTAFTER(_xlfn.TEXTSPLIT(C55,CHAR(10)),"-",-1),"km","")))</f>
        <v>230</v>
      </c>
      <c r="E55" s="9">
        <f>13+83+10+12+10</f>
        <v>128</v>
      </c>
      <c r="F55" s="11">
        <f t="shared" si="5"/>
        <v>3.94495412844037</v>
      </c>
      <c r="G55" s="11">
        <v>4.3</v>
      </c>
      <c r="H55" s="8">
        <f t="shared" si="6"/>
        <v>907.339449541285</v>
      </c>
      <c r="I55" s="8">
        <f t="shared" si="7"/>
        <v>989</v>
      </c>
      <c r="J55" s="8">
        <v>3.5</v>
      </c>
      <c r="K55" s="8">
        <f t="shared" si="8"/>
        <v>805</v>
      </c>
      <c r="L55" s="7"/>
      <c r="M55" s="9"/>
      <c r="N55" s="9"/>
    </row>
    <row r="56" ht="58" customHeight="1" spans="1:14">
      <c r="A56" s="9">
        <v>67</v>
      </c>
      <c r="B56" s="17">
        <v>45885</v>
      </c>
      <c r="C56" s="9" t="s">
        <v>66</v>
      </c>
      <c r="D56" s="9" cm="1">
        <f t="array" ref="D56">SUM(VALUE(SUBSTITUTE(_xlfn.TEXTAFTER(_xlfn.TEXTSPLIT(C56,CHAR(10)),"-",-1),"km","")))</f>
        <v>391</v>
      </c>
      <c r="E56" s="20">
        <f>171+81+42+50</f>
        <v>344</v>
      </c>
      <c r="F56" s="11">
        <f t="shared" si="5"/>
        <v>3.76146788990826</v>
      </c>
      <c r="G56" s="11">
        <v>4.1</v>
      </c>
      <c r="H56" s="8">
        <f t="shared" si="6"/>
        <v>1470.73394495413</v>
      </c>
      <c r="I56" s="8">
        <f t="shared" si="7"/>
        <v>1603.1</v>
      </c>
      <c r="J56" s="8">
        <v>3.2</v>
      </c>
      <c r="K56" s="8">
        <f t="shared" si="8"/>
        <v>1251.2</v>
      </c>
      <c r="L56" s="7"/>
      <c r="M56" s="9"/>
      <c r="N56" s="9"/>
    </row>
    <row r="57" ht="71.25" spans="1:14">
      <c r="A57" s="9">
        <v>68</v>
      </c>
      <c r="B57" s="18"/>
      <c r="C57" s="9" t="s">
        <v>67</v>
      </c>
      <c r="D57" s="9" cm="1">
        <f t="array" ref="D57">SUM(VALUE(SUBSTITUTE(_xlfn.TEXTAFTER(_xlfn.TEXTSPLIT(C57,CHAR(10)),"-",-1),"km","")))</f>
        <v>546</v>
      </c>
      <c r="E57" s="9">
        <f>180+27+59+47</f>
        <v>313</v>
      </c>
      <c r="F57" s="11">
        <f t="shared" si="5"/>
        <v>3.76146788990826</v>
      </c>
      <c r="G57" s="11">
        <v>4.1</v>
      </c>
      <c r="H57" s="8">
        <f t="shared" si="6"/>
        <v>2053.76146788991</v>
      </c>
      <c r="I57" s="8">
        <f t="shared" si="7"/>
        <v>2238.6</v>
      </c>
      <c r="J57" s="8">
        <v>3.2</v>
      </c>
      <c r="K57" s="8">
        <f t="shared" si="8"/>
        <v>1747.2</v>
      </c>
      <c r="L57" s="7"/>
      <c r="M57" s="9"/>
      <c r="N57" s="9"/>
    </row>
    <row r="58" ht="128.25" spans="1:14">
      <c r="A58" s="9">
        <v>69</v>
      </c>
      <c r="B58" s="18"/>
      <c r="C58" s="9" t="s">
        <v>68</v>
      </c>
      <c r="D58" s="9" cm="1">
        <f t="array" ref="D58">SUM(VALUE(SUBSTITUTE(_xlfn.TEXTAFTER(_xlfn.TEXTSPLIT(C58,CHAR(10)),"-",-1),"km","")))</f>
        <v>345.8</v>
      </c>
      <c r="E58" s="9">
        <f>190+43</f>
        <v>233</v>
      </c>
      <c r="F58" s="11">
        <f t="shared" si="5"/>
        <v>3.76146788990826</v>
      </c>
      <c r="G58" s="11">
        <v>4.1</v>
      </c>
      <c r="H58" s="8">
        <f t="shared" si="6"/>
        <v>1300.71559633028</v>
      </c>
      <c r="I58" s="8">
        <f t="shared" si="7"/>
        <v>1417.78</v>
      </c>
      <c r="J58" s="8">
        <v>3.2</v>
      </c>
      <c r="K58" s="8">
        <f t="shared" si="8"/>
        <v>1106.56</v>
      </c>
      <c r="L58" s="7"/>
      <c r="M58" s="9"/>
      <c r="N58" s="9"/>
    </row>
    <row r="59" ht="85.5" spans="1:14">
      <c r="A59" s="9">
        <v>70</v>
      </c>
      <c r="B59" s="18"/>
      <c r="C59" s="9" t="s">
        <v>69</v>
      </c>
      <c r="D59" s="9" cm="1">
        <f t="array" ref="D59">SUM(VALUE(SUBSTITUTE(_xlfn.TEXTAFTER(_xlfn.TEXTSPLIT(C59,CHAR(10)),"-",-1),"km","")))</f>
        <v>285</v>
      </c>
      <c r="E59" s="9">
        <f>98+48</f>
        <v>146</v>
      </c>
      <c r="F59" s="11">
        <f t="shared" si="5"/>
        <v>3.94495412844037</v>
      </c>
      <c r="G59" s="11">
        <v>4.3</v>
      </c>
      <c r="H59" s="8">
        <f t="shared" si="6"/>
        <v>1124.31192660551</v>
      </c>
      <c r="I59" s="8">
        <f t="shared" si="7"/>
        <v>1225.5</v>
      </c>
      <c r="J59" s="8">
        <v>3.5</v>
      </c>
      <c r="K59" s="8">
        <f t="shared" si="8"/>
        <v>997.5</v>
      </c>
      <c r="L59" s="7"/>
      <c r="M59" s="9"/>
      <c r="N59" s="9"/>
    </row>
    <row r="60" ht="114" spans="1:14">
      <c r="A60" s="9">
        <v>74</v>
      </c>
      <c r="B60" s="17">
        <v>45886</v>
      </c>
      <c r="C60" s="9" t="s">
        <v>70</v>
      </c>
      <c r="D60" s="9" cm="1">
        <f t="array" ref="D60">SUM(VALUE(SUBSTITUTE(_xlfn.TEXTAFTER(_xlfn.TEXTSPLIT(C60,CHAR(10)),"-",-1),"km","")))</f>
        <v>281.8</v>
      </c>
      <c r="E60" s="9">
        <f>97+62+17</f>
        <v>176</v>
      </c>
      <c r="F60" s="11">
        <f t="shared" si="5"/>
        <v>3.94495412844037</v>
      </c>
      <c r="G60" s="11">
        <v>4.3</v>
      </c>
      <c r="H60" s="8">
        <f t="shared" si="6"/>
        <v>1111.6880733945</v>
      </c>
      <c r="I60" s="8">
        <f t="shared" si="7"/>
        <v>1211.74</v>
      </c>
      <c r="J60" s="8">
        <v>3.5</v>
      </c>
      <c r="K60" s="8">
        <f t="shared" si="8"/>
        <v>986.3</v>
      </c>
      <c r="L60" s="7"/>
      <c r="M60" s="9"/>
      <c r="N60" s="9"/>
    </row>
    <row r="61" ht="142.5" spans="1:14">
      <c r="A61" s="9">
        <v>79</v>
      </c>
      <c r="B61" s="17">
        <v>45887</v>
      </c>
      <c r="C61" s="9" t="s">
        <v>71</v>
      </c>
      <c r="D61" s="9" cm="1">
        <f t="array" ref="D61">SUM(VALUE(SUBSTITUTE(_xlfn.TEXTAFTER(_xlfn.TEXTSPLIT(C61,CHAR(10)),"-",-1),"km","")))</f>
        <v>456.8</v>
      </c>
      <c r="E61" s="9">
        <f>120+74+34+43</f>
        <v>271</v>
      </c>
      <c r="F61" s="11">
        <f t="shared" si="5"/>
        <v>3.76146788990826</v>
      </c>
      <c r="G61" s="11">
        <v>4.1</v>
      </c>
      <c r="H61" s="8">
        <f t="shared" si="6"/>
        <v>1718.23853211009</v>
      </c>
      <c r="I61" s="8">
        <f t="shared" si="7"/>
        <v>1872.88</v>
      </c>
      <c r="J61" s="8">
        <v>3.2</v>
      </c>
      <c r="K61" s="8">
        <f t="shared" si="8"/>
        <v>1461.76</v>
      </c>
      <c r="L61" s="7"/>
      <c r="M61" s="9"/>
      <c r="N61" s="9"/>
    </row>
    <row r="62" ht="114" spans="1:14">
      <c r="A62" s="9">
        <v>80</v>
      </c>
      <c r="B62" s="18"/>
      <c r="C62" s="9" t="s">
        <v>72</v>
      </c>
      <c r="D62" s="9" cm="1">
        <f t="array" ref="D62">SUM(VALUE(SUBSTITUTE(_xlfn.TEXTAFTER(_xlfn.TEXTSPLIT(C62,CHAR(10)),"-",-1),"km","")))</f>
        <v>213.7</v>
      </c>
      <c r="E62" s="9">
        <f>127+59+42+42+50</f>
        <v>320</v>
      </c>
      <c r="F62" s="11">
        <f t="shared" si="5"/>
        <v>3.94495412844037</v>
      </c>
      <c r="G62" s="11">
        <v>4.3</v>
      </c>
      <c r="H62" s="8">
        <f t="shared" si="6"/>
        <v>843.036697247707</v>
      </c>
      <c r="I62" s="8">
        <f t="shared" si="7"/>
        <v>918.91</v>
      </c>
      <c r="J62" s="8">
        <v>3.5</v>
      </c>
      <c r="K62" s="8">
        <f t="shared" si="8"/>
        <v>747.95</v>
      </c>
      <c r="L62" s="7"/>
      <c r="M62" s="9"/>
      <c r="N62" s="9"/>
    </row>
    <row r="63" ht="114" spans="1:14">
      <c r="A63" s="9"/>
      <c r="B63" s="18"/>
      <c r="C63" s="9" t="s">
        <v>73</v>
      </c>
      <c r="D63" s="9" cm="1">
        <f t="array" ref="D63">SUM(VALUE(SUBSTITUTE(_xlfn.TEXTAFTER(_xlfn.TEXTSPLIT(C63,CHAR(10)),"-",-1),"km","")))</f>
        <v>235</v>
      </c>
      <c r="E63" s="9">
        <f>127+59+42+42+50</f>
        <v>320</v>
      </c>
      <c r="F63" s="11">
        <f t="shared" si="5"/>
        <v>3.94495412844037</v>
      </c>
      <c r="G63" s="11">
        <v>4.3</v>
      </c>
      <c r="H63" s="8">
        <f t="shared" si="6"/>
        <v>927.064220183487</v>
      </c>
      <c r="I63" s="8">
        <f t="shared" si="7"/>
        <v>1010.5</v>
      </c>
      <c r="J63" s="8">
        <v>3.5</v>
      </c>
      <c r="K63" s="8">
        <f t="shared" si="8"/>
        <v>822.5</v>
      </c>
      <c r="L63" s="7"/>
      <c r="M63" s="9"/>
      <c r="N63" s="9"/>
    </row>
    <row r="64" ht="114" spans="1:14">
      <c r="A64" s="9">
        <v>83</v>
      </c>
      <c r="B64" s="17">
        <v>45888</v>
      </c>
      <c r="C64" s="9" t="s">
        <v>74</v>
      </c>
      <c r="D64" s="9" cm="1">
        <f t="array" ref="D64">SUM(VALUE(SUBSTITUTE(_xlfn.TEXTAFTER(_xlfn.TEXTSPLIT(C64,CHAR(10)),"-",-1),"km","")))</f>
        <v>569</v>
      </c>
      <c r="E64" s="9">
        <f>86+10+12+10+6</f>
        <v>124</v>
      </c>
      <c r="F64" s="11">
        <f t="shared" si="5"/>
        <v>3.76146788990826</v>
      </c>
      <c r="G64" s="11">
        <v>4.1</v>
      </c>
      <c r="H64" s="8">
        <f t="shared" si="6"/>
        <v>2140.2752293578</v>
      </c>
      <c r="I64" s="8">
        <f t="shared" si="7"/>
        <v>2332.9</v>
      </c>
      <c r="J64" s="8">
        <v>3.2</v>
      </c>
      <c r="K64" s="8">
        <f t="shared" si="8"/>
        <v>1820.8</v>
      </c>
      <c r="L64" s="7"/>
      <c r="M64" s="9"/>
      <c r="N64" s="9"/>
    </row>
    <row r="65" ht="142.5" spans="1:14">
      <c r="A65" s="9">
        <v>84</v>
      </c>
      <c r="B65" s="18"/>
      <c r="C65" s="9" t="s">
        <v>75</v>
      </c>
      <c r="D65" s="9" cm="1">
        <f t="array" ref="D65">SUM(VALUE(SUBSTITUTE(_xlfn.TEXTAFTER(_xlfn.TEXTSPLIT(C65,CHAR(10)),"-",-1),"km","")))</f>
        <v>387.8</v>
      </c>
      <c r="E65" s="9">
        <v>1</v>
      </c>
      <c r="F65" s="11">
        <f t="shared" si="5"/>
        <v>3.76146788990826</v>
      </c>
      <c r="G65" s="11">
        <v>4.1</v>
      </c>
      <c r="H65" s="8">
        <f t="shared" si="6"/>
        <v>1458.69724770642</v>
      </c>
      <c r="I65" s="8">
        <f t="shared" si="7"/>
        <v>1589.98</v>
      </c>
      <c r="J65" s="8">
        <v>3.2</v>
      </c>
      <c r="K65" s="8">
        <f t="shared" si="8"/>
        <v>1240.96</v>
      </c>
      <c r="L65" s="7"/>
      <c r="M65" s="9"/>
      <c r="N65" s="9"/>
    </row>
    <row r="66" ht="85.5" spans="1:14">
      <c r="A66" s="9">
        <v>85</v>
      </c>
      <c r="B66" s="18"/>
      <c r="C66" s="9" t="s">
        <v>76</v>
      </c>
      <c r="D66" s="9" cm="1">
        <f t="array" ref="D66">SUM(VALUE(SUBSTITUTE(_xlfn.TEXTAFTER(_xlfn.TEXTSPLIT(C66,CHAR(10)),"-",-1),"km","")))</f>
        <v>249</v>
      </c>
      <c r="E66" s="9">
        <f>157+16</f>
        <v>173</v>
      </c>
      <c r="F66" s="11">
        <f t="shared" si="5"/>
        <v>3.94495412844037</v>
      </c>
      <c r="G66" s="11">
        <v>4.3</v>
      </c>
      <c r="H66" s="8">
        <f t="shared" si="6"/>
        <v>982.293577981652</v>
      </c>
      <c r="I66" s="8">
        <f t="shared" si="7"/>
        <v>1070.7</v>
      </c>
      <c r="J66" s="8">
        <v>3.5</v>
      </c>
      <c r="K66" s="8">
        <f t="shared" si="8"/>
        <v>871.5</v>
      </c>
      <c r="L66" s="7"/>
      <c r="M66" s="9"/>
      <c r="N66" s="9"/>
    </row>
    <row r="67" ht="99.75" spans="1:14">
      <c r="A67" s="9">
        <v>87</v>
      </c>
      <c r="B67" s="17">
        <v>45889</v>
      </c>
      <c r="C67" s="9" t="s">
        <v>77</v>
      </c>
      <c r="D67" s="9" cm="1">
        <f t="array" ref="D67">SUM(VALUE(SUBSTITUTE(_xlfn.TEXTAFTER(_xlfn.TEXTSPLIT(C67,CHAR(10)),"-",-1),"km","")))</f>
        <v>228</v>
      </c>
      <c r="E67" s="9">
        <f>167+38+3.6+39+50</f>
        <v>297.6</v>
      </c>
      <c r="F67" s="11">
        <f t="shared" si="5"/>
        <v>3.94495412844037</v>
      </c>
      <c r="G67" s="11">
        <v>4.3</v>
      </c>
      <c r="H67" s="8">
        <f t="shared" si="6"/>
        <v>899.449541284404</v>
      </c>
      <c r="I67" s="8">
        <f t="shared" si="7"/>
        <v>980.4</v>
      </c>
      <c r="J67" s="8">
        <v>3.5</v>
      </c>
      <c r="K67" s="8">
        <f t="shared" si="8"/>
        <v>798</v>
      </c>
      <c r="L67" s="7"/>
      <c r="M67" s="9"/>
      <c r="N67" s="9"/>
    </row>
    <row r="68" ht="118" customHeight="1" spans="1:14">
      <c r="A68" s="9">
        <v>88</v>
      </c>
      <c r="B68" s="18"/>
      <c r="C68" s="9" t="s">
        <v>78</v>
      </c>
      <c r="D68" s="9" cm="1">
        <f t="array" ref="D68">SUM(VALUE(SUBSTITUTE(_xlfn.TEXTAFTER(_xlfn.TEXTSPLIT(C68,CHAR(10)),"-",-1),"km","")))</f>
        <v>314</v>
      </c>
      <c r="E68" s="9">
        <f>180+16+9.5+59+47</f>
        <v>311.5</v>
      </c>
      <c r="F68" s="11">
        <f t="shared" si="5"/>
        <v>3.76146788990826</v>
      </c>
      <c r="G68" s="11">
        <v>4.1</v>
      </c>
      <c r="H68" s="8">
        <f t="shared" si="6"/>
        <v>1181.10091743119</v>
      </c>
      <c r="I68" s="8">
        <f t="shared" si="7"/>
        <v>1287.4</v>
      </c>
      <c r="J68" s="8">
        <v>3.2</v>
      </c>
      <c r="K68" s="8">
        <f t="shared" si="8"/>
        <v>1004.8</v>
      </c>
      <c r="L68" s="7"/>
      <c r="M68" s="9"/>
      <c r="N68" s="9"/>
    </row>
    <row r="69" ht="102" customHeight="1" spans="1:14">
      <c r="A69" s="9">
        <v>89</v>
      </c>
      <c r="B69" s="18"/>
      <c r="C69" s="9" t="s">
        <v>79</v>
      </c>
      <c r="D69" s="9" cm="1">
        <f t="array" ref="D69">SUM(VALUE(SUBSTITUTE(_xlfn.TEXTAFTER(_xlfn.TEXTSPLIT(C69,CHAR(10)),"-",-1),"km","")))</f>
        <v>172.5</v>
      </c>
      <c r="E69" s="9">
        <f>120+55+62+34+43</f>
        <v>314</v>
      </c>
      <c r="F69" s="11">
        <f t="shared" si="5"/>
        <v>4.12844036697248</v>
      </c>
      <c r="G69" s="11">
        <v>4.5</v>
      </c>
      <c r="H69" s="8">
        <f t="shared" si="6"/>
        <v>712.155963302753</v>
      </c>
      <c r="I69" s="8">
        <f t="shared" si="7"/>
        <v>776.25</v>
      </c>
      <c r="J69" s="8">
        <v>3.5</v>
      </c>
      <c r="K69" s="8">
        <f t="shared" si="8"/>
        <v>603.75</v>
      </c>
      <c r="L69" s="7"/>
      <c r="M69" s="9"/>
      <c r="N69" s="9"/>
    </row>
    <row r="70" ht="114" spans="1:14">
      <c r="A70" s="9">
        <v>91</v>
      </c>
      <c r="B70" s="17">
        <v>45890</v>
      </c>
      <c r="C70" s="9" t="s">
        <v>80</v>
      </c>
      <c r="D70" s="9" cm="1">
        <f t="array" ref="D70">SUM(VALUE(SUBSTITUTE(_xlfn.TEXTAFTER(_xlfn.TEXTSPLIT(C70,CHAR(10)),"-",-1),"km","")))</f>
        <v>477</v>
      </c>
      <c r="E70" s="9">
        <f>101+6+62+17</f>
        <v>186</v>
      </c>
      <c r="F70" s="11">
        <f t="shared" si="5"/>
        <v>3.76146788990826</v>
      </c>
      <c r="G70" s="11">
        <v>4.1</v>
      </c>
      <c r="H70" s="8">
        <f t="shared" si="6"/>
        <v>1794.22018348624</v>
      </c>
      <c r="I70" s="8">
        <f t="shared" si="7"/>
        <v>1955.7</v>
      </c>
      <c r="J70" s="8">
        <v>3.2</v>
      </c>
      <c r="K70" s="8">
        <f t="shared" si="8"/>
        <v>1526.4</v>
      </c>
      <c r="L70" s="7"/>
      <c r="M70" s="9"/>
      <c r="N70" s="9"/>
    </row>
    <row r="71" ht="116" customHeight="1" spans="1:14">
      <c r="A71" s="9">
        <v>92</v>
      </c>
      <c r="B71" s="18"/>
      <c r="C71" s="9" t="s">
        <v>81</v>
      </c>
      <c r="D71" s="9" cm="1">
        <f t="array" ref="D71">SUM(VALUE(SUBSTITUTE(_xlfn.TEXTAFTER(_xlfn.TEXTSPLIT(C71,CHAR(10)),"-",-1),"km","")))</f>
        <v>365.7</v>
      </c>
      <c r="E71" s="9">
        <f>18+22+67+10+12</f>
        <v>129</v>
      </c>
      <c r="F71" s="11">
        <f t="shared" si="5"/>
        <v>3.76146788990826</v>
      </c>
      <c r="G71" s="11">
        <v>4.1</v>
      </c>
      <c r="H71" s="8">
        <f t="shared" si="6"/>
        <v>1375.56880733945</v>
      </c>
      <c r="I71" s="8">
        <f t="shared" si="7"/>
        <v>1499.37</v>
      </c>
      <c r="J71" s="8">
        <v>3.2</v>
      </c>
      <c r="K71" s="8">
        <f t="shared" si="8"/>
        <v>1170.24</v>
      </c>
      <c r="L71" s="7"/>
      <c r="M71" s="9"/>
      <c r="N71" s="9"/>
    </row>
    <row r="72" ht="99.75" spans="1:14">
      <c r="A72" s="9"/>
      <c r="B72" s="18"/>
      <c r="C72" s="9" t="s">
        <v>82</v>
      </c>
      <c r="D72" s="9" cm="1">
        <f t="array" ref="D72">SUM(VALUE(SUBSTITUTE(_xlfn.TEXTAFTER(_xlfn.TEXTSPLIT(C72,CHAR(10)),"-",-1),"km","")))</f>
        <v>258.6</v>
      </c>
      <c r="E72" s="9">
        <f>18+22+67+10+12</f>
        <v>129</v>
      </c>
      <c r="F72" s="11">
        <f t="shared" si="5"/>
        <v>3.94495412844037</v>
      </c>
      <c r="G72" s="11">
        <v>4.3</v>
      </c>
      <c r="H72" s="8">
        <f t="shared" si="6"/>
        <v>1020.16513761468</v>
      </c>
      <c r="I72" s="8">
        <f t="shared" si="7"/>
        <v>1111.98</v>
      </c>
      <c r="J72" s="8">
        <v>3.5</v>
      </c>
      <c r="K72" s="8">
        <f t="shared" si="8"/>
        <v>905.1</v>
      </c>
      <c r="L72" s="7"/>
      <c r="M72" s="9"/>
      <c r="N72" s="9"/>
    </row>
    <row r="73" ht="99.75" spans="1:14">
      <c r="A73" s="9">
        <v>95</v>
      </c>
      <c r="B73" s="17">
        <v>45891</v>
      </c>
      <c r="C73" s="9" t="s">
        <v>83</v>
      </c>
      <c r="D73" s="9" cm="1">
        <f t="array" ref="D73">SUM(VALUE(SUBSTITUTE(_xlfn.TEXTAFTER(_xlfn.TEXTSPLIT(C73,CHAR(10)),"-",-1),"km","")))</f>
        <v>226</v>
      </c>
      <c r="E73" s="9">
        <f>120+91+42+60</f>
        <v>313</v>
      </c>
      <c r="F73" s="11">
        <f t="shared" si="5"/>
        <v>3.94495412844037</v>
      </c>
      <c r="G73" s="11">
        <v>4.3</v>
      </c>
      <c r="H73" s="8">
        <f t="shared" si="6"/>
        <v>891.559633027524</v>
      </c>
      <c r="I73" s="8">
        <f t="shared" si="7"/>
        <v>971.8</v>
      </c>
      <c r="J73" s="8">
        <v>3.5</v>
      </c>
      <c r="K73" s="8">
        <f t="shared" si="8"/>
        <v>791</v>
      </c>
      <c r="L73" s="7"/>
      <c r="M73" s="9"/>
      <c r="N73" s="9"/>
    </row>
    <row r="74" ht="99.75" spans="1:14">
      <c r="A74" s="9">
        <v>96</v>
      </c>
      <c r="B74" s="18"/>
      <c r="C74" s="9" t="s">
        <v>84</v>
      </c>
      <c r="D74" s="9" cm="1">
        <f t="array" ref="D74">SUM(VALUE(SUBSTITUTE(_xlfn.TEXTAFTER(_xlfn.TEXTSPLIT(C74,CHAR(10)),"-",-1),"km","")))</f>
        <v>201</v>
      </c>
      <c r="E74" s="9">
        <f>189+3.6+39+45</f>
        <v>276.6</v>
      </c>
      <c r="F74" s="11">
        <f t="shared" si="5"/>
        <v>3.94495412844037</v>
      </c>
      <c r="G74" s="11">
        <v>4.3</v>
      </c>
      <c r="H74" s="8">
        <f t="shared" si="6"/>
        <v>792.935779816514</v>
      </c>
      <c r="I74" s="8">
        <f t="shared" si="7"/>
        <v>864.3</v>
      </c>
      <c r="J74" s="8">
        <v>3.5</v>
      </c>
      <c r="K74" s="8">
        <f t="shared" si="8"/>
        <v>703.5</v>
      </c>
      <c r="L74" s="7"/>
      <c r="M74" s="9"/>
      <c r="N74" s="9"/>
    </row>
    <row r="75" ht="99.75" spans="1:14">
      <c r="A75" s="9">
        <v>97</v>
      </c>
      <c r="B75" s="18"/>
      <c r="C75" s="9" t="s">
        <v>85</v>
      </c>
      <c r="D75" s="9" cm="1">
        <f t="array" ref="D75">SUM(VALUE(SUBSTITUTE(_xlfn.TEXTAFTER(_xlfn.TEXTSPLIT(C75,CHAR(10)),"-",-1),"km","")))</f>
        <v>254</v>
      </c>
      <c r="E75" s="9">
        <f>160+81</f>
        <v>241</v>
      </c>
      <c r="F75" s="11">
        <f t="shared" si="5"/>
        <v>3.94495412844037</v>
      </c>
      <c r="G75" s="11">
        <v>4.3</v>
      </c>
      <c r="H75" s="8">
        <f t="shared" si="6"/>
        <v>1002.01834862385</v>
      </c>
      <c r="I75" s="8">
        <f t="shared" si="7"/>
        <v>1092.2</v>
      </c>
      <c r="J75" s="8">
        <v>3.5</v>
      </c>
      <c r="K75" s="8">
        <f t="shared" si="8"/>
        <v>889</v>
      </c>
      <c r="L75" s="7"/>
      <c r="M75" s="9"/>
      <c r="N75" s="9"/>
    </row>
    <row r="76" ht="114" spans="1:14">
      <c r="A76" s="9">
        <v>101</v>
      </c>
      <c r="B76" s="17">
        <v>45892</v>
      </c>
      <c r="C76" s="9" t="s">
        <v>86</v>
      </c>
      <c r="D76" s="9" cm="1">
        <f t="array" ref="D76">SUM(VALUE(SUBSTITUTE(_xlfn.TEXTAFTER(_xlfn.TEXTSPLIT(C76,CHAR(10)),"-",-1),"km","")))</f>
        <v>291</v>
      </c>
      <c r="E76" s="9">
        <f>86+10+12+10</f>
        <v>118</v>
      </c>
      <c r="F76" s="11">
        <f t="shared" si="5"/>
        <v>3.94495412844037</v>
      </c>
      <c r="G76" s="11">
        <v>4.3</v>
      </c>
      <c r="H76" s="8">
        <f t="shared" si="6"/>
        <v>1147.98165137615</v>
      </c>
      <c r="I76" s="8">
        <f t="shared" si="7"/>
        <v>1251.3</v>
      </c>
      <c r="J76" s="8">
        <v>3.5</v>
      </c>
      <c r="K76" s="8">
        <f t="shared" si="8"/>
        <v>1018.5</v>
      </c>
      <c r="L76" s="7"/>
      <c r="M76" s="9"/>
      <c r="N76" s="9"/>
    </row>
    <row r="77" ht="81" customHeight="1" spans="1:14">
      <c r="A77" s="9">
        <v>102</v>
      </c>
      <c r="B77" s="18"/>
      <c r="C77" s="9" t="s">
        <v>87</v>
      </c>
      <c r="D77" s="9" cm="1">
        <f t="array" ref="D77">SUM(VALUE(SUBSTITUTE(_xlfn.TEXTAFTER(_xlfn.TEXTSPLIT(C77,CHAR(10)),"-",-1),"km","")))</f>
        <v>333</v>
      </c>
      <c r="E77" s="9">
        <f>42+74+65+17</f>
        <v>198</v>
      </c>
      <c r="F77" s="11">
        <f t="shared" si="5"/>
        <v>3.76146788990826</v>
      </c>
      <c r="G77" s="11">
        <v>4.1</v>
      </c>
      <c r="H77" s="8">
        <f t="shared" si="6"/>
        <v>1252.56880733945</v>
      </c>
      <c r="I77" s="8">
        <f t="shared" si="7"/>
        <v>1365.3</v>
      </c>
      <c r="J77" s="8">
        <v>3.2</v>
      </c>
      <c r="K77" s="8">
        <f t="shared" si="8"/>
        <v>1065.6</v>
      </c>
      <c r="L77" s="7"/>
      <c r="M77" s="9"/>
      <c r="N77" s="9"/>
    </row>
    <row r="78" ht="128.25" spans="1:14">
      <c r="A78" s="9">
        <v>103</v>
      </c>
      <c r="B78" s="18"/>
      <c r="C78" s="9" t="s">
        <v>88</v>
      </c>
      <c r="D78" s="9" cm="1">
        <f t="array" ref="D78">SUM(VALUE(SUBSTITUTE(_xlfn.TEXTAFTER(_xlfn.TEXTSPLIT(C78,CHAR(10)),"-",-1),"km","")))</f>
        <v>345.8</v>
      </c>
      <c r="E78" s="9">
        <f>42+74+65+17</f>
        <v>198</v>
      </c>
      <c r="F78" s="11">
        <f t="shared" si="5"/>
        <v>3.76146788990826</v>
      </c>
      <c r="G78" s="11">
        <v>4.1</v>
      </c>
      <c r="H78" s="8">
        <f t="shared" si="6"/>
        <v>1300.71559633028</v>
      </c>
      <c r="I78" s="8">
        <f t="shared" si="7"/>
        <v>1417.78</v>
      </c>
      <c r="J78" s="8">
        <v>3.2</v>
      </c>
      <c r="K78" s="8">
        <f t="shared" si="8"/>
        <v>1106.56</v>
      </c>
      <c r="L78" s="7"/>
      <c r="M78" s="9"/>
      <c r="N78" s="9"/>
    </row>
    <row r="79" ht="71.25" spans="1:14">
      <c r="A79" s="9"/>
      <c r="B79" s="18"/>
      <c r="C79" s="9" t="s">
        <v>89</v>
      </c>
      <c r="D79" s="9" cm="1">
        <f t="array" ref="D79">SUM(VALUE(SUBSTITUTE(_xlfn.TEXTAFTER(_xlfn.TEXTSPLIT(C79,CHAR(10)),"-",-1),"km","")))</f>
        <v>462</v>
      </c>
      <c r="E79" s="9">
        <f>42+74+65+17</f>
        <v>198</v>
      </c>
      <c r="F79" s="11">
        <f t="shared" si="5"/>
        <v>3.76146788990826</v>
      </c>
      <c r="G79" s="11">
        <v>4.1</v>
      </c>
      <c r="H79" s="8">
        <f t="shared" si="6"/>
        <v>1737.79816513762</v>
      </c>
      <c r="I79" s="8">
        <f t="shared" si="7"/>
        <v>1894.2</v>
      </c>
      <c r="J79" s="8">
        <v>3.2</v>
      </c>
      <c r="K79" s="8">
        <f t="shared" si="8"/>
        <v>1478.4</v>
      </c>
      <c r="L79" s="7"/>
      <c r="M79" s="9"/>
      <c r="N79" s="9"/>
    </row>
    <row r="80" ht="85.5" spans="1:14">
      <c r="A80" s="9">
        <v>104</v>
      </c>
      <c r="B80" s="18"/>
      <c r="C80" s="1" t="s">
        <v>90</v>
      </c>
      <c r="D80" s="9" cm="1">
        <f t="array" ref="D80">SUM(VALUE(SUBSTITUTE(_xlfn.TEXTAFTER(_xlfn.TEXTSPLIT(C80,CHAR(10)),"-",-1),"km","")))</f>
        <v>367</v>
      </c>
      <c r="E80" s="9">
        <f>42+74+65+17</f>
        <v>198</v>
      </c>
      <c r="F80" s="11">
        <f t="shared" si="5"/>
        <v>3.76146788990826</v>
      </c>
      <c r="G80" s="11">
        <v>4.1</v>
      </c>
      <c r="H80" s="8">
        <f t="shared" si="6"/>
        <v>1380.45871559633</v>
      </c>
      <c r="I80" s="8">
        <f t="shared" si="7"/>
        <v>1504.7</v>
      </c>
      <c r="J80" s="8">
        <v>3.2</v>
      </c>
      <c r="K80" s="8">
        <f t="shared" si="8"/>
        <v>1174.4</v>
      </c>
      <c r="L80" s="7"/>
      <c r="M80" s="9"/>
      <c r="N80" s="9"/>
    </row>
    <row r="81" ht="99.75" spans="1:14">
      <c r="A81" s="9">
        <v>106</v>
      </c>
      <c r="B81" s="17">
        <v>45893</v>
      </c>
      <c r="C81" s="9" t="s">
        <v>91</v>
      </c>
      <c r="D81" s="9" cm="1">
        <f t="array" ref="D81">SUM(VALUE(SUBSTITUTE(_xlfn.TEXTAFTER(_xlfn.TEXTSPLIT(C81,CHAR(10)),"-",-1),"km","")))</f>
        <v>205</v>
      </c>
      <c r="E81" s="9">
        <f>98+55+74+3.6+39+50</f>
        <v>319.6</v>
      </c>
      <c r="F81" s="11">
        <f t="shared" si="5"/>
        <v>3.94495412844037</v>
      </c>
      <c r="G81" s="11">
        <v>4.3</v>
      </c>
      <c r="H81" s="8">
        <f t="shared" si="6"/>
        <v>808.715596330276</v>
      </c>
      <c r="I81" s="8">
        <f t="shared" si="7"/>
        <v>881.5</v>
      </c>
      <c r="J81" s="8">
        <v>3.5</v>
      </c>
      <c r="K81" s="8">
        <f t="shared" si="8"/>
        <v>717.5</v>
      </c>
      <c r="L81" s="7"/>
      <c r="M81" s="9"/>
      <c r="N81" s="9"/>
    </row>
    <row r="82" ht="114" spans="1:14">
      <c r="A82" s="9">
        <v>107</v>
      </c>
      <c r="B82" s="18"/>
      <c r="C82" s="9" t="s">
        <v>92</v>
      </c>
      <c r="D82" s="9" cm="1">
        <f t="array" ref="D82">SUM(VALUE(SUBSTITUTE(_xlfn.TEXTAFTER(_xlfn.TEXTSPLIT(C82,CHAR(10)),"-",-1),"km","")))</f>
        <v>229.8</v>
      </c>
      <c r="E82" s="9">
        <f>180+16+9.5+59+47</f>
        <v>311.5</v>
      </c>
      <c r="F82" s="11">
        <f t="shared" si="5"/>
        <v>3.94495412844037</v>
      </c>
      <c r="G82" s="11">
        <v>4.3</v>
      </c>
      <c r="H82" s="8">
        <f t="shared" si="6"/>
        <v>906.550458715597</v>
      </c>
      <c r="I82" s="8">
        <f t="shared" si="7"/>
        <v>988.14</v>
      </c>
      <c r="J82" s="8">
        <v>3.5</v>
      </c>
      <c r="K82" s="8">
        <f t="shared" si="8"/>
        <v>804.3</v>
      </c>
      <c r="L82" s="7"/>
      <c r="M82" s="9"/>
      <c r="N82" s="9"/>
    </row>
    <row r="83" ht="71.25" spans="1:14">
      <c r="A83" s="9">
        <v>110</v>
      </c>
      <c r="B83" s="17">
        <v>45894</v>
      </c>
      <c r="C83" s="9" t="s">
        <v>93</v>
      </c>
      <c r="D83" s="9" cm="1">
        <f t="array" ref="D83">SUM(VALUE(SUBSTITUTE(_xlfn.TEXTAFTER(_xlfn.TEXTSPLIT(C83,CHAR(10)),"-",-1),"km","")))</f>
        <v>191</v>
      </c>
      <c r="E83" s="9">
        <f t="shared" ref="E83:E88" si="9">35+67+10+12+10+6</f>
        <v>140</v>
      </c>
      <c r="F83" s="11">
        <f t="shared" si="5"/>
        <v>4.12844036697248</v>
      </c>
      <c r="G83" s="11">
        <v>4.5</v>
      </c>
      <c r="H83" s="8">
        <f t="shared" si="6"/>
        <v>788.532110091744</v>
      </c>
      <c r="I83" s="8">
        <f t="shared" si="7"/>
        <v>859.5</v>
      </c>
      <c r="J83" s="8">
        <v>3.5</v>
      </c>
      <c r="K83" s="8">
        <f t="shared" si="8"/>
        <v>668.5</v>
      </c>
      <c r="L83" s="7"/>
      <c r="M83" s="9"/>
      <c r="N83" s="9"/>
    </row>
    <row r="84" ht="99.75" spans="1:14">
      <c r="A84" s="9">
        <v>111</v>
      </c>
      <c r="B84" s="18"/>
      <c r="C84" s="9" t="s">
        <v>94</v>
      </c>
      <c r="D84" s="9" cm="1">
        <f t="array" ref="D84">SUM(VALUE(SUBSTITUTE(_xlfn.TEXTAFTER(_xlfn.TEXTSPLIT(C84,CHAR(10)),"-",-1),"km","")))</f>
        <v>209.7</v>
      </c>
      <c r="E84" s="9">
        <f t="shared" si="9"/>
        <v>140</v>
      </c>
      <c r="F84" s="11">
        <f t="shared" si="5"/>
        <v>3.94495412844037</v>
      </c>
      <c r="G84" s="11">
        <v>4.3</v>
      </c>
      <c r="H84" s="8">
        <f t="shared" si="6"/>
        <v>827.256880733946</v>
      </c>
      <c r="I84" s="8">
        <f t="shared" si="7"/>
        <v>901.71</v>
      </c>
      <c r="J84" s="8">
        <v>3.5</v>
      </c>
      <c r="K84" s="8">
        <f t="shared" si="8"/>
        <v>733.95</v>
      </c>
      <c r="L84" s="7"/>
      <c r="M84" s="9"/>
      <c r="N84" s="9"/>
    </row>
    <row r="85" ht="71.25" spans="1:14">
      <c r="A85" s="9">
        <v>112</v>
      </c>
      <c r="B85" s="18"/>
      <c r="C85" s="9" t="s">
        <v>95</v>
      </c>
      <c r="D85" s="9" cm="1">
        <f t="array" ref="D85">SUM(VALUE(SUBSTITUTE(_xlfn.TEXTAFTER(_xlfn.TEXTSPLIT(C85,CHAR(10)),"-",-1),"km","")))</f>
        <v>287.6</v>
      </c>
      <c r="E85" s="9">
        <f t="shared" si="9"/>
        <v>140</v>
      </c>
      <c r="F85" s="11">
        <f t="shared" si="5"/>
        <v>3.94495412844037</v>
      </c>
      <c r="G85" s="11">
        <v>4.3</v>
      </c>
      <c r="H85" s="8">
        <f t="shared" si="6"/>
        <v>1134.56880733945</v>
      </c>
      <c r="I85" s="8">
        <f t="shared" si="7"/>
        <v>1236.68</v>
      </c>
      <c r="J85" s="8">
        <v>3.5</v>
      </c>
      <c r="K85" s="8">
        <f t="shared" si="8"/>
        <v>1006.6</v>
      </c>
      <c r="L85" s="7"/>
      <c r="M85" s="9"/>
      <c r="N85" s="9"/>
    </row>
    <row r="86" ht="142.5" spans="1:14">
      <c r="A86" s="9">
        <v>113</v>
      </c>
      <c r="B86" s="18"/>
      <c r="C86" s="9" t="s">
        <v>96</v>
      </c>
      <c r="D86" s="9" cm="1">
        <f t="array" ref="D86">SUM(VALUE(SUBSTITUTE(_xlfn.TEXTAFTER(_xlfn.TEXTSPLIT(C86,CHAR(10)),"-",-1),"km","")))</f>
        <v>267.3</v>
      </c>
      <c r="E86" s="9">
        <f t="shared" si="9"/>
        <v>140</v>
      </c>
      <c r="F86" s="11">
        <f t="shared" si="5"/>
        <v>3.94495412844037</v>
      </c>
      <c r="G86" s="11">
        <v>4.3</v>
      </c>
      <c r="H86" s="8">
        <f t="shared" si="6"/>
        <v>1054.48623853211</v>
      </c>
      <c r="I86" s="8">
        <f t="shared" si="7"/>
        <v>1149.39</v>
      </c>
      <c r="J86" s="8">
        <v>3.5</v>
      </c>
      <c r="K86" s="8">
        <f t="shared" si="8"/>
        <v>935.55</v>
      </c>
      <c r="L86" s="7"/>
      <c r="M86" s="9"/>
      <c r="N86" s="9"/>
    </row>
    <row r="87" ht="85.5" spans="1:14">
      <c r="A87" s="9">
        <v>115</v>
      </c>
      <c r="B87" s="17">
        <v>45895</v>
      </c>
      <c r="C87" s="9" t="s">
        <v>97</v>
      </c>
      <c r="D87" s="9" cm="1">
        <f t="array" ref="D87">SUM(VALUE(SUBSTITUTE(_xlfn.TEXTAFTER(_xlfn.TEXTSPLIT(C87,CHAR(10)),"-",-1),"km","")))</f>
        <v>272</v>
      </c>
      <c r="E87" s="9">
        <f t="shared" si="9"/>
        <v>140</v>
      </c>
      <c r="F87" s="11">
        <f t="shared" si="5"/>
        <v>3.94495412844037</v>
      </c>
      <c r="G87" s="11">
        <v>4.3</v>
      </c>
      <c r="H87" s="8">
        <f t="shared" si="6"/>
        <v>1073.02752293578</v>
      </c>
      <c r="I87" s="8">
        <f t="shared" si="7"/>
        <v>1169.6</v>
      </c>
      <c r="J87" s="8">
        <v>3.5</v>
      </c>
      <c r="K87" s="8">
        <f t="shared" si="8"/>
        <v>952</v>
      </c>
      <c r="L87" s="7"/>
      <c r="M87" s="9"/>
      <c r="N87" s="9"/>
    </row>
    <row r="88" ht="99.75" spans="1:14">
      <c r="A88" s="9"/>
      <c r="B88" s="18"/>
      <c r="C88" s="9" t="s">
        <v>98</v>
      </c>
      <c r="D88" s="9" cm="1">
        <f t="array" ref="D88">SUM(VALUE(SUBSTITUTE(_xlfn.TEXTAFTER(_xlfn.TEXTSPLIT(C88,CHAR(10)),"-",-1),"km","")))</f>
        <v>521</v>
      </c>
      <c r="E88" s="9">
        <f t="shared" si="9"/>
        <v>140</v>
      </c>
      <c r="F88" s="11">
        <f t="shared" si="5"/>
        <v>3.76146788990826</v>
      </c>
      <c r="G88" s="11">
        <v>4.1</v>
      </c>
      <c r="H88" s="8">
        <f t="shared" si="6"/>
        <v>1959.7247706422</v>
      </c>
      <c r="I88" s="8">
        <f t="shared" si="7"/>
        <v>2136.1</v>
      </c>
      <c r="J88" s="8">
        <v>3.2</v>
      </c>
      <c r="K88" s="8">
        <f t="shared" si="8"/>
        <v>1667.2</v>
      </c>
      <c r="L88" s="7"/>
      <c r="M88" s="9"/>
      <c r="N88" s="9"/>
    </row>
    <row r="89" ht="156.75" spans="1:14">
      <c r="A89" s="9">
        <v>116</v>
      </c>
      <c r="B89" s="18"/>
      <c r="C89" s="9" t="s">
        <v>99</v>
      </c>
      <c r="D89" s="9" cm="1">
        <f t="array" ref="D89">SUM(VALUE(SUBSTITUTE(_xlfn.TEXTAFTER(_xlfn.TEXTSPLIT(C89,CHAR(10)),"-",-1),"km","")))</f>
        <v>475.3</v>
      </c>
      <c r="E89" s="9">
        <f>35+67+10+12+10+6</f>
        <v>140</v>
      </c>
      <c r="F89" s="11">
        <f>G89/1.09</f>
        <v>3.76146788990826</v>
      </c>
      <c r="G89" s="11">
        <v>4.1</v>
      </c>
      <c r="H89" s="8">
        <f>D89*F89</f>
        <v>1787.82568807339</v>
      </c>
      <c r="I89" s="8">
        <f>D89*G89</f>
        <v>1948.73</v>
      </c>
      <c r="J89" s="8">
        <v>3.2</v>
      </c>
      <c r="K89" s="8">
        <f>D89*J89</f>
        <v>1520.96</v>
      </c>
      <c r="L89" s="7"/>
      <c r="M89" s="9"/>
      <c r="N89" s="9"/>
    </row>
    <row r="90" ht="57" spans="1:14">
      <c r="A90" s="9">
        <v>117</v>
      </c>
      <c r="B90" s="18"/>
      <c r="C90" s="9" t="s">
        <v>100</v>
      </c>
      <c r="D90" s="9" cm="1">
        <f t="array" ref="D90">SUM(VALUE(SUBSTITUTE(_xlfn.TEXTAFTER(_xlfn.TEXTSPLIT(C90,CHAR(10)),"-",-1),"km","")))</f>
        <v>309</v>
      </c>
      <c r="E90" s="9">
        <f>35+67+10+12+10+6</f>
        <v>140</v>
      </c>
      <c r="F90" s="11">
        <f>G90/1.09</f>
        <v>3.76146788990826</v>
      </c>
      <c r="G90" s="11">
        <v>4.1</v>
      </c>
      <c r="H90" s="8">
        <f>D90*F90</f>
        <v>1162.29357798165</v>
      </c>
      <c r="I90" s="8">
        <f>D90*G90</f>
        <v>1266.9</v>
      </c>
      <c r="J90" s="8">
        <v>3.2</v>
      </c>
      <c r="K90" s="8">
        <f>D90*J90</f>
        <v>988.8</v>
      </c>
      <c r="L90" s="7"/>
      <c r="M90" s="9"/>
      <c r="N90" s="9"/>
    </row>
    <row r="91" ht="128.25" spans="1:14">
      <c r="A91" s="9"/>
      <c r="B91" s="22">
        <v>45896</v>
      </c>
      <c r="C91" s="9" t="s">
        <v>101</v>
      </c>
      <c r="D91" s="9" cm="1">
        <f t="array" ref="D91">SUM(VALUE(SUBSTITUTE(_xlfn.TEXTAFTER(_xlfn.TEXTSPLIT(C91,CHAR(10)),"-",-1),"km","")))</f>
        <v>224.4</v>
      </c>
      <c r="E91" s="9">
        <f>35+67+10+12+10+6</f>
        <v>140</v>
      </c>
      <c r="F91" s="11">
        <f>G91/1.09</f>
        <v>3.94495412844037</v>
      </c>
      <c r="G91" s="11">
        <v>4.3</v>
      </c>
      <c r="H91" s="8">
        <f>D91*F91</f>
        <v>885.247706422018</v>
      </c>
      <c r="I91" s="8">
        <f>D91*G91</f>
        <v>964.92</v>
      </c>
      <c r="J91" s="8">
        <v>3.5</v>
      </c>
      <c r="K91" s="8">
        <f>D91*J91</f>
        <v>785.4</v>
      </c>
      <c r="L91" s="7"/>
      <c r="M91" s="9"/>
      <c r="N91" s="9"/>
    </row>
    <row r="92" ht="71.25" spans="1:14">
      <c r="A92" s="9"/>
      <c r="B92" s="22"/>
      <c r="C92" s="9" t="s">
        <v>102</v>
      </c>
      <c r="D92" s="9" cm="1">
        <f t="array" ref="D92">SUM(VALUE(SUBSTITUTE(_xlfn.TEXTAFTER(_xlfn.TEXTSPLIT(C92,CHAR(10)),"-",-1),"km","")))</f>
        <v>174.7</v>
      </c>
      <c r="E92" s="9">
        <f>35+67+10+12+10+6</f>
        <v>140</v>
      </c>
      <c r="F92" s="11">
        <f>G92/1.09</f>
        <v>4.12844036697248</v>
      </c>
      <c r="G92" s="11">
        <v>4.5</v>
      </c>
      <c r="H92" s="8">
        <f>D92*F92</f>
        <v>721.238532110092</v>
      </c>
      <c r="I92" s="8">
        <f>D92*G92</f>
        <v>786.15</v>
      </c>
      <c r="J92" s="8">
        <v>3.5</v>
      </c>
      <c r="K92" s="8">
        <f>D92*J92</f>
        <v>611.45</v>
      </c>
      <c r="L92" s="7"/>
      <c r="M92" s="9"/>
      <c r="N92" s="9"/>
    </row>
    <row r="93" ht="99.75" spans="1:14">
      <c r="A93" s="9"/>
      <c r="B93" s="22"/>
      <c r="C93" s="9" t="s">
        <v>103</v>
      </c>
      <c r="D93" s="9" cm="1">
        <f t="array" ref="D93">SUM(VALUE(SUBSTITUTE(_xlfn.TEXTAFTER(_xlfn.TEXTSPLIT(C93,CHAR(10)),"-",-1),"km","")))</f>
        <v>223</v>
      </c>
      <c r="E93" s="9">
        <f>35+67+10+12+10+6</f>
        <v>140</v>
      </c>
      <c r="F93" s="11">
        <f>G93/1.09</f>
        <v>3.94495412844037</v>
      </c>
      <c r="G93" s="11">
        <v>4.3</v>
      </c>
      <c r="H93" s="8">
        <f>D93*F93</f>
        <v>879.724770642202</v>
      </c>
      <c r="I93" s="8">
        <f>D93*G93</f>
        <v>958.9</v>
      </c>
      <c r="J93" s="8">
        <v>3.5</v>
      </c>
      <c r="K93" s="8">
        <f>D93*J93</f>
        <v>780.5</v>
      </c>
      <c r="L93" s="7"/>
      <c r="M93" s="9"/>
      <c r="N93" s="9"/>
    </row>
    <row r="94" ht="128.25" spans="1:14">
      <c r="A94" s="9">
        <v>118</v>
      </c>
      <c r="B94" s="10">
        <v>45897</v>
      </c>
      <c r="C94" s="9" t="s">
        <v>104</v>
      </c>
      <c r="D94" s="9" cm="1">
        <f t="array" ref="D94">SUM(VALUE(SUBSTITUTE(_xlfn.TEXTAFTER(_xlfn.TEXTSPLIT(C94,CHAR(10)),"-",-1),"km","")))</f>
        <v>747</v>
      </c>
      <c r="E94" s="9">
        <f t="shared" ref="E94:E101" si="10">35+67+10+12+10+6</f>
        <v>140</v>
      </c>
      <c r="F94" s="11">
        <f t="shared" ref="F94:F101" si="11">G94/1.09</f>
        <v>3.76146788990826</v>
      </c>
      <c r="G94" s="11">
        <v>4.1</v>
      </c>
      <c r="H94" s="8">
        <f t="shared" ref="H94:H101" si="12">D94*F94</f>
        <v>2809.81651376147</v>
      </c>
      <c r="I94" s="8">
        <f t="shared" ref="I94:I101" si="13">D94*G94</f>
        <v>3062.7</v>
      </c>
      <c r="J94" s="8">
        <v>3.2</v>
      </c>
      <c r="K94" s="8">
        <f t="shared" ref="K94:K101" si="14">D94*J94</f>
        <v>2390.4</v>
      </c>
      <c r="L94" s="7"/>
      <c r="M94" s="9"/>
      <c r="N94" s="9"/>
    </row>
    <row r="95" ht="171" spans="1:14">
      <c r="A95" s="9">
        <v>119</v>
      </c>
      <c r="B95" s="10"/>
      <c r="C95" s="9" t="s">
        <v>105</v>
      </c>
      <c r="D95" s="9" cm="1">
        <f t="array" ref="D95">SUM(VALUE(SUBSTITUTE(_xlfn.TEXTAFTER(_xlfn.TEXTSPLIT(C95,CHAR(10)),"-",-1),"km","")))</f>
        <v>342.4</v>
      </c>
      <c r="E95" s="9">
        <f t="shared" si="10"/>
        <v>140</v>
      </c>
      <c r="F95" s="11">
        <f t="shared" si="11"/>
        <v>3.76146788990826</v>
      </c>
      <c r="G95" s="11">
        <v>4.1</v>
      </c>
      <c r="H95" s="8">
        <f t="shared" si="12"/>
        <v>1287.92660550459</v>
      </c>
      <c r="I95" s="8">
        <f t="shared" si="13"/>
        <v>1403.84</v>
      </c>
      <c r="J95" s="8">
        <v>3.2</v>
      </c>
      <c r="K95" s="8">
        <f t="shared" si="14"/>
        <v>1095.68</v>
      </c>
      <c r="L95" s="7"/>
      <c r="M95" s="9"/>
      <c r="N95" s="9"/>
    </row>
    <row r="96" ht="117" customHeight="1" spans="1:14">
      <c r="A96" s="9">
        <v>120</v>
      </c>
      <c r="B96" s="10"/>
      <c r="C96" s="9" t="s">
        <v>106</v>
      </c>
      <c r="D96" s="9" cm="1">
        <f t="array" ref="D96">SUM(VALUE(SUBSTITUTE(_xlfn.TEXTAFTER(_xlfn.TEXTSPLIT(C96,CHAR(10)),"-",-1),"km","")))</f>
        <v>222.7</v>
      </c>
      <c r="E96" s="9">
        <f t="shared" si="10"/>
        <v>140</v>
      </c>
      <c r="F96" s="11">
        <f t="shared" si="11"/>
        <v>3.94495412844037</v>
      </c>
      <c r="G96" s="11">
        <v>4.3</v>
      </c>
      <c r="H96" s="8">
        <f t="shared" si="12"/>
        <v>878.54128440367</v>
      </c>
      <c r="I96" s="8">
        <f t="shared" si="13"/>
        <v>957.61</v>
      </c>
      <c r="J96" s="8">
        <v>3.5</v>
      </c>
      <c r="K96" s="8">
        <f t="shared" si="14"/>
        <v>779.45</v>
      </c>
      <c r="L96" s="7"/>
      <c r="M96" s="9"/>
      <c r="N96" s="9"/>
    </row>
    <row r="97" ht="128.25" spans="1:14">
      <c r="A97" s="9">
        <v>121</v>
      </c>
      <c r="B97" s="10"/>
      <c r="C97" s="9" t="s">
        <v>107</v>
      </c>
      <c r="D97" s="9" cm="1">
        <f t="array" ref="D97">SUM(VALUE(SUBSTITUTE(_xlfn.TEXTAFTER(_xlfn.TEXTSPLIT(C97,CHAR(10)),"-",-1),"km","")))</f>
        <v>294.7</v>
      </c>
      <c r="E97" s="9">
        <f t="shared" si="10"/>
        <v>140</v>
      </c>
      <c r="F97" s="11">
        <f t="shared" si="11"/>
        <v>3.94495412844037</v>
      </c>
      <c r="G97" s="11">
        <v>4.3</v>
      </c>
      <c r="H97" s="8">
        <f t="shared" si="12"/>
        <v>1162.57798165138</v>
      </c>
      <c r="I97" s="8">
        <f t="shared" si="13"/>
        <v>1267.21</v>
      </c>
      <c r="J97" s="8">
        <v>3.5</v>
      </c>
      <c r="K97" s="8">
        <f t="shared" si="14"/>
        <v>1031.45</v>
      </c>
      <c r="L97" s="7"/>
      <c r="M97" s="9"/>
      <c r="N97" s="9"/>
    </row>
    <row r="98" ht="114" spans="1:14">
      <c r="A98" s="9">
        <v>122</v>
      </c>
      <c r="B98" s="17">
        <v>45898</v>
      </c>
      <c r="C98" s="9" t="s">
        <v>108</v>
      </c>
      <c r="D98" s="9" cm="1">
        <f t="array" ref="D98">SUM(VALUE(SUBSTITUTE(_xlfn.TEXTAFTER(_xlfn.TEXTSPLIT(C98,CHAR(10)),"-",-1),"km","")))</f>
        <v>257.7</v>
      </c>
      <c r="E98" s="9">
        <f t="shared" si="10"/>
        <v>140</v>
      </c>
      <c r="F98" s="11">
        <f t="shared" si="11"/>
        <v>3.94495412844037</v>
      </c>
      <c r="G98" s="11">
        <v>4.3</v>
      </c>
      <c r="H98" s="8">
        <f t="shared" si="12"/>
        <v>1016.61467889908</v>
      </c>
      <c r="I98" s="8">
        <f t="shared" si="13"/>
        <v>1108.11</v>
      </c>
      <c r="J98" s="8">
        <v>3.5</v>
      </c>
      <c r="K98" s="8">
        <f t="shared" si="14"/>
        <v>901.95</v>
      </c>
      <c r="L98" s="7"/>
      <c r="M98" s="9"/>
      <c r="N98" s="9"/>
    </row>
    <row r="99" ht="156.75" spans="1:14">
      <c r="A99" s="9">
        <v>123</v>
      </c>
      <c r="B99" s="18"/>
      <c r="C99" s="9" t="s">
        <v>109</v>
      </c>
      <c r="D99" s="9" cm="1">
        <f t="array" ref="D99">SUM(VALUE(SUBSTITUTE(_xlfn.TEXTAFTER(_xlfn.TEXTSPLIT(C99,CHAR(10)),"-",-1),"km","")))</f>
        <v>230</v>
      </c>
      <c r="E99" s="9">
        <f t="shared" si="10"/>
        <v>140</v>
      </c>
      <c r="F99" s="11">
        <f t="shared" si="11"/>
        <v>3.94495412844037</v>
      </c>
      <c r="G99" s="11">
        <v>4.3</v>
      </c>
      <c r="H99" s="8">
        <f t="shared" si="12"/>
        <v>907.339449541284</v>
      </c>
      <c r="I99" s="8">
        <f t="shared" si="13"/>
        <v>989</v>
      </c>
      <c r="J99" s="8">
        <v>3.5</v>
      </c>
      <c r="K99" s="8">
        <f t="shared" si="14"/>
        <v>805</v>
      </c>
      <c r="L99" s="7"/>
      <c r="M99" s="9"/>
      <c r="N99" s="9"/>
    </row>
    <row r="100" ht="114" spans="1:14">
      <c r="A100" s="23">
        <v>124</v>
      </c>
      <c r="B100" s="18"/>
      <c r="C100" s="23" t="s">
        <v>110</v>
      </c>
      <c r="D100" s="9" cm="1">
        <f t="array" ref="D100">SUM(VALUE(SUBSTITUTE(_xlfn.TEXTAFTER(_xlfn.TEXTSPLIT(C100,CHAR(10)),"-",-1),"km","")))</f>
        <v>258</v>
      </c>
      <c r="E100" s="9">
        <f t="shared" si="10"/>
        <v>140</v>
      </c>
      <c r="F100" s="11">
        <f t="shared" si="11"/>
        <v>3.94495412844037</v>
      </c>
      <c r="G100" s="11">
        <v>4.3</v>
      </c>
      <c r="H100" s="8">
        <f t="shared" si="12"/>
        <v>1017.79816513761</v>
      </c>
      <c r="I100" s="8">
        <f t="shared" si="13"/>
        <v>1109.4</v>
      </c>
      <c r="J100" s="8">
        <v>3.5</v>
      </c>
      <c r="K100" s="8">
        <f t="shared" si="14"/>
        <v>903</v>
      </c>
      <c r="L100" s="7"/>
      <c r="M100" s="9"/>
      <c r="N100" s="9"/>
    </row>
    <row r="101" ht="142.5" spans="1:14">
      <c r="A101" s="24"/>
      <c r="B101" s="25">
        <v>45899</v>
      </c>
      <c r="C101" s="24" t="s">
        <v>111</v>
      </c>
      <c r="D101" s="9" cm="1">
        <f t="array" ref="D101">SUM(VALUE(SUBSTITUTE(_xlfn.TEXTAFTER(_xlfn.TEXTSPLIT(C101,CHAR(10)),"-",-1),"km","")))</f>
        <v>580</v>
      </c>
      <c r="E101" s="9">
        <f t="shared" ref="E101:E110" si="15">35+67+10+12+10+6</f>
        <v>140</v>
      </c>
      <c r="F101" s="11">
        <f t="shared" ref="F101:F127" si="16">G101/1.09</f>
        <v>3.76146788990826</v>
      </c>
      <c r="G101" s="11">
        <v>4.1</v>
      </c>
      <c r="H101" s="8">
        <f t="shared" ref="H101:H127" si="17">D101*F101</f>
        <v>2181.65137614679</v>
      </c>
      <c r="I101" s="8">
        <f t="shared" ref="I101:I127" si="18">D101*G101</f>
        <v>2378</v>
      </c>
      <c r="J101" s="8">
        <v>3.2</v>
      </c>
      <c r="K101" s="8">
        <f t="shared" ref="K101:K127" si="19">D101*J101</f>
        <v>1856</v>
      </c>
      <c r="L101" s="7"/>
      <c r="M101" s="9"/>
      <c r="N101" s="9"/>
    </row>
    <row r="102" ht="171" spans="1:14">
      <c r="A102" s="24"/>
      <c r="B102" s="26"/>
      <c r="C102" s="24" t="s">
        <v>112</v>
      </c>
      <c r="D102" s="9" cm="1">
        <f t="array" ref="D102">SUM(VALUE(SUBSTITUTE(_xlfn.TEXTAFTER(_xlfn.TEXTSPLIT(C102,CHAR(10)),"-",-1),"km","")))</f>
        <v>289.8</v>
      </c>
      <c r="E102" s="9">
        <f t="shared" si="15"/>
        <v>140</v>
      </c>
      <c r="F102" s="11">
        <f t="shared" si="16"/>
        <v>3.94495412844037</v>
      </c>
      <c r="G102" s="11">
        <v>4.3</v>
      </c>
      <c r="H102" s="8">
        <f t="shared" si="17"/>
        <v>1143.24770642202</v>
      </c>
      <c r="I102" s="8">
        <f t="shared" si="18"/>
        <v>1246.14</v>
      </c>
      <c r="J102" s="8">
        <v>3.5</v>
      </c>
      <c r="K102" s="8">
        <f t="shared" si="19"/>
        <v>1014.3</v>
      </c>
      <c r="L102" s="7"/>
      <c r="M102" s="9"/>
      <c r="N102" s="9"/>
    </row>
    <row r="103" ht="142.5" spans="1:14">
      <c r="A103" s="24"/>
      <c r="B103" s="27"/>
      <c r="C103" s="24" t="s">
        <v>113</v>
      </c>
      <c r="D103" s="9" cm="1">
        <f t="array" ref="D103">SUM(VALUE(SUBSTITUTE(_xlfn.TEXTAFTER(_xlfn.TEXTSPLIT(C103,CHAR(10)),"-",-1),"km","")))</f>
        <v>344.3</v>
      </c>
      <c r="E103" s="9">
        <f t="shared" si="15"/>
        <v>140</v>
      </c>
      <c r="F103" s="11">
        <f t="shared" si="16"/>
        <v>3.76146788990826</v>
      </c>
      <c r="G103" s="11">
        <v>4.1</v>
      </c>
      <c r="H103" s="8">
        <f t="shared" si="17"/>
        <v>1295.07339449541</v>
      </c>
      <c r="I103" s="8">
        <f t="shared" si="18"/>
        <v>1411.63</v>
      </c>
      <c r="J103" s="8">
        <v>3.2</v>
      </c>
      <c r="K103" s="8">
        <f t="shared" si="19"/>
        <v>1101.76</v>
      </c>
      <c r="L103" s="7"/>
      <c r="M103" s="9"/>
      <c r="N103" s="9"/>
    </row>
    <row r="104" ht="142.5" spans="1:14">
      <c r="A104" s="24"/>
      <c r="B104" s="25">
        <v>45900</v>
      </c>
      <c r="C104" s="24" t="s">
        <v>114</v>
      </c>
      <c r="D104" s="9" cm="1">
        <f t="array" ref="D104">SUM(VALUE(SUBSTITUTE(_xlfn.TEXTAFTER(_xlfn.TEXTSPLIT(C104,CHAR(10)),"-",-1),"km","")))</f>
        <v>146.8</v>
      </c>
      <c r="E104" s="9">
        <f t="shared" si="15"/>
        <v>140</v>
      </c>
      <c r="F104" s="11">
        <f t="shared" si="16"/>
        <v>4.12844036697248</v>
      </c>
      <c r="G104" s="11">
        <v>4.5</v>
      </c>
      <c r="H104" s="8">
        <f t="shared" si="17"/>
        <v>606.05504587156</v>
      </c>
      <c r="I104" s="8">
        <f t="shared" si="18"/>
        <v>660.6</v>
      </c>
      <c r="J104" s="8">
        <v>3.5</v>
      </c>
      <c r="K104" s="8">
        <f t="shared" si="19"/>
        <v>513.8</v>
      </c>
      <c r="L104" s="7"/>
      <c r="M104" s="9"/>
      <c r="N104" s="9"/>
    </row>
    <row r="105" ht="171" spans="1:14">
      <c r="A105" s="24"/>
      <c r="B105" s="26"/>
      <c r="C105" s="24" t="s">
        <v>115</v>
      </c>
      <c r="D105" s="9" cm="1">
        <f t="array" ref="D105">SUM(VALUE(SUBSTITUTE(_xlfn.TEXTAFTER(_xlfn.TEXTSPLIT(C105,CHAR(10)),"-",-1),"km","")))</f>
        <v>360</v>
      </c>
      <c r="E105" s="9">
        <f t="shared" si="15"/>
        <v>140</v>
      </c>
      <c r="F105" s="11">
        <f t="shared" si="16"/>
        <v>3.76146788990826</v>
      </c>
      <c r="G105" s="11">
        <v>4.1</v>
      </c>
      <c r="H105" s="8">
        <f t="shared" si="17"/>
        <v>1354.12844036697</v>
      </c>
      <c r="I105" s="8">
        <f t="shared" si="18"/>
        <v>1476</v>
      </c>
      <c r="J105" s="8">
        <v>3.2</v>
      </c>
      <c r="K105" s="8">
        <f t="shared" si="19"/>
        <v>1152</v>
      </c>
      <c r="L105" s="7"/>
      <c r="M105" s="9"/>
      <c r="N105" s="9"/>
    </row>
    <row r="106" ht="142.5" spans="1:14">
      <c r="A106" s="24"/>
      <c r="B106" s="26"/>
      <c r="C106" s="24" t="s">
        <v>116</v>
      </c>
      <c r="D106" s="9" cm="1">
        <f t="array" ref="D106">SUM(VALUE(SUBSTITUTE(_xlfn.TEXTAFTER(_xlfn.TEXTSPLIT(C106,CHAR(10)),"-",-1),"km","")))</f>
        <v>212.5</v>
      </c>
      <c r="E106" s="9">
        <f t="shared" si="15"/>
        <v>140</v>
      </c>
      <c r="F106" s="11">
        <f t="shared" si="16"/>
        <v>3.94495412844037</v>
      </c>
      <c r="G106" s="11">
        <v>4.3</v>
      </c>
      <c r="H106" s="8">
        <f t="shared" si="17"/>
        <v>838.302752293578</v>
      </c>
      <c r="I106" s="8">
        <f t="shared" si="18"/>
        <v>913.75</v>
      </c>
      <c r="J106" s="8">
        <v>3.5</v>
      </c>
      <c r="K106" s="8">
        <f t="shared" si="19"/>
        <v>743.75</v>
      </c>
      <c r="L106" s="7"/>
      <c r="M106" s="9"/>
      <c r="N106" s="9"/>
    </row>
    <row r="107" ht="114" spans="1:14">
      <c r="A107" s="24"/>
      <c r="B107" s="27"/>
      <c r="C107" s="24" t="s">
        <v>117</v>
      </c>
      <c r="D107" s="9" cm="1">
        <f t="array" ref="D107">SUM(VALUE(SUBSTITUTE(_xlfn.TEXTAFTER(_xlfn.TEXTSPLIT(C107,CHAR(10)),"-",-1),"km","")))</f>
        <v>311</v>
      </c>
      <c r="E107" s="9">
        <f t="shared" si="15"/>
        <v>140</v>
      </c>
      <c r="F107" s="11">
        <f t="shared" si="16"/>
        <v>3.76146788990826</v>
      </c>
      <c r="G107" s="11">
        <v>4.1</v>
      </c>
      <c r="H107" s="8">
        <f t="shared" si="17"/>
        <v>1169.81651376147</v>
      </c>
      <c r="I107" s="8">
        <f t="shared" si="18"/>
        <v>1275.1</v>
      </c>
      <c r="J107" s="8">
        <v>3.2</v>
      </c>
      <c r="K107" s="8">
        <f t="shared" si="19"/>
        <v>995.2</v>
      </c>
      <c r="L107" s="7"/>
      <c r="M107" s="9"/>
      <c r="N107" s="9"/>
    </row>
  </sheetData>
  <autoFilter xmlns:etc="http://www.wps.cn/officeDocument/2017/etCustomData" ref="A1:R100" etc:filterBottomFollowUsedRange="0">
    <extLst/>
  </autoFilter>
  <mergeCells count="30">
    <mergeCell ref="B2:B4"/>
    <mergeCell ref="B5:B7"/>
    <mergeCell ref="B8:B9"/>
    <mergeCell ref="B10:B12"/>
    <mergeCell ref="B13:B18"/>
    <mergeCell ref="B19:B21"/>
    <mergeCell ref="B22:B25"/>
    <mergeCell ref="B26:B31"/>
    <mergeCell ref="B32:B35"/>
    <mergeCell ref="B36:B37"/>
    <mergeCell ref="B38:B41"/>
    <mergeCell ref="B42:B46"/>
    <mergeCell ref="B47:B49"/>
    <mergeCell ref="B50:B53"/>
    <mergeCell ref="B54:B55"/>
    <mergeCell ref="B56:B59"/>
    <mergeCell ref="B61:B63"/>
    <mergeCell ref="B64:B66"/>
    <mergeCell ref="B67:B69"/>
    <mergeCell ref="B70:B72"/>
    <mergeCell ref="B73:B75"/>
    <mergeCell ref="B76:B80"/>
    <mergeCell ref="B81:B82"/>
    <mergeCell ref="B83:B86"/>
    <mergeCell ref="B87:B90"/>
    <mergeCell ref="B91:B93"/>
    <mergeCell ref="B94:B97"/>
    <mergeCell ref="B98:B100"/>
    <mergeCell ref="B101:B103"/>
    <mergeCell ref="B104:B10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果色心情°</cp:lastModifiedBy>
  <dcterms:created xsi:type="dcterms:W3CDTF">2025-07-01T12:54:00Z</dcterms:created>
  <dcterms:modified xsi:type="dcterms:W3CDTF">2025-09-01T15:22:00Z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0127A40C6DD5438E8559899813676E1D_13</vt:lpwstr>
  </property>
  <property fmtid="{D5CDD505-2E9C-101B-9397-08002B2CF9AE}" pid="3" name="KSOProductBuildVer">
    <vt:lpwstr>2052-12.1.0.22529</vt:lpwstr>
  </property>
</Properties>
</file>