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 (3)" sheetId="1" r:id="rId1"/>
  </sheets>
  <definedNames>
    <definedName name="_xlnm._FilterDatabase" localSheetId="0" hidden="1">'Sheet1 (3)'!$A$1:$R$123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<sst xmlns="http://schemas.openxmlformats.org/spreadsheetml/2006/main" count="136" uniqueCount="133">
  <si>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</si>
  <si>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</si>
  <si>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</si>
  <si>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</si>
  <si>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</si>
  <si>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</si>
  <si>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</si>
  <si>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</si>
  <si>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</si>
  <si>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</si>
  <si>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</si>
  <si>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</si>
  <si>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共橙一站式超市(奉新县迎宾大道店)-45km   
  共橙一站式超市(宜丰县新昌中路店)-92km   
  惠宜选九江市修水店-93km
  共橙一站式超市(武宁月山路店)-81km</t>
  </si>
  <si>
    <t>共橙一站式超市(南昌经开区庐山南大道店)-26km
  共橙一站式超市(庐山玉帘路店)-47km
  历臣-九江市都昌东风大道店-48km</t>
  </si>
  <si>
    <t>共橙一站式超市(高安瑞阳大道店)-41km     
  厉臣-宜春市上高店-54km
  共橙一站式超市(新余抱石大道店)-68km     
  共橙一站式超市(新余市青年路店)-5.5km      
  共橙一站式超市(万载县康乐大道店)-86km     
  共橙一站式超市(宜春文体路店)-45km
  惠宜选-萍乡金三角店-67km
  惠宜选超市(萍乡萍安中大道店)-4.4km</t>
  </si>
  <si>
    <t>共橙超市-南昌东湖店-46km
  共橙一站式超市(景德镇紫晶路店)-189km        
  共橙一站式超市(景德镇翠云路店)-10km     
  共橙一站式超市(浮梁县新昌北路店)-16km</t>
  </si>
  <si>
    <t>共橙一站式超市(南昌长富大道店)-20km     
  共橙一站式超市(崇仁站前路店)-149km
  共橙一站式超市(抚州金巢大道店)-42km     
  共橙一站式超市(金溪县秀谷西大道店)-47km 
  共橙一站式超市(南丰南广路店)-90km
  共橙一站式超市(黎川杏林路店)-56km</t>
  </si>
  <si>
    <t>共橙一站式超市(共青城南湖大道店)-90km   
  惠宜选-九江市柴桑店-54km
  共橙一站式超市(九江八里湖大道店)-16km   
  共橙一站式超市(瑞昌赤乌大道店)-45km</t>
  </si>
  <si>
    <t>共橙一站式超市(南昌小洲路店)-36km
  共橙一站式超市(吉水万里大道店)-213km
  共橙一站式超市(吉安青原大道店)-20km
  共橙一站式超市(吉安县赣江大道店)-15km
  共橙一站式超市(泰和澄江大道店)-29km
  共橙一站式超市(永新湘赣大道店)-89km
  共橙一站式超市(遂川川江南路店)-125km</t>
  </si>
  <si>
    <t>共橙一站式超市(新干县金川大道店)-120km
  共橙一站式超市(宁都县登峰大道店)-206km
  共橙一站式超市(瑞金龙珠路店)-75km
  共橙一站式超市(会昌兴会路店)-43km
  共橙一站式超市(安远腾飞路店)-103km</t>
  </si>
  <si>
    <t>共橙一站式超市(共青城南湖大道店)-90km
  共橙一站式超市(九江八里湖大道店)-62km
  共橙一站式超市(九江花溪路店)-7km     
  共橙一站式超市(九江浔阳东路店)-10km  
  共橙一站式超市(湖口渊明路店)-28km    
  厉臣便利(彭泽县龙兴路店)-35km</t>
  </si>
  <si>
    <t>共橙一站式超市(南昌迎宾中大道店)-30km
  共橙一站式超市(永修建昌大道店)-62km
  厉臣-九江市都昌东风大道店-108km
  共橙一站式超市(庐山玉帘路店)-75km
  惠宜选-九江市柴桑店-47km
  共橙一站式超市(瑞昌赤乌大道店)-35km</t>
  </si>
  <si>
    <t>共橙一站式超市(南昌明月山大道店)-7.7km 
  共橙一站式超市(安义学府大道店)-42km  
  共橙一站式超市(奉新县迎宾大道店)-31km
  惠宜选-九江市修水店-129km</t>
  </si>
  <si>
    <t>共橙一站式超市(新干县金川大道店)-120km
  共橙一站式超市(吉水万里大道店)-65km   
  共橙一站式超市(吉安青原大道店)-20km   
  共橙一站式超市(吉安县赣江大道店)-15km 
  共橙一站式超市(泰和澄江大道店)-29km   
  共橙一站式超市(永新湘赣大道店)-89km   
  共橙一站式超市(遂川川江南路店)-125km</t>
  </si>
  <si>
    <t>共橙一站式超市(抚州玉茗路店)-123km    
  共橙一站式超市(崇仁站前路店)-34km     
  共橙一站式超市(抚州乐安大道店)-60km   
  共橙一站式超市(宁都县登峰大道店)-150km
  共橙一站式超市(兴国县将军大道店)-101km
  共橙一站式超市(瑞金龙珠路店)-142km</t>
  </si>
  <si>
    <t>共橙一站式超市(抚州迎宾大道店)-123km
  共橙一站式超市(抚州金巢大道店)-3.3km
  共橙一站式超市(金溪县秀谷西大道店)-47km
  共橙一站式超市(南城登高路店)-65km
  共橙一站式超市(南丰南广路店)-43km
  共橙一站式超市(黎川杏林路店)-56km</t>
  </si>
  <si>
    <t>共橙一站式超市(南昌东祥路店)-32km    
  共橙一站式超市(鄱阳锦宇大道店)-133km     
  共橙一站式超市(景德镇紫晶路店)-83km  
  共橙一站式超市(景德镇翠云路店)-10km  
  共橙一站式超市(浮梁县新昌北路店)-16km</t>
  </si>
  <si>
    <t>共橙一站式超市(安义学府大道店)-42km
  共橙一站式超市(奉新县迎宾大道店)-31km
  共橙一站式超市(宜丰县新昌中路店)-92km
  惠宜选-九江市修水店-93km
  共橙一站式超市(武宁月山路店)-79km</t>
  </si>
  <si>
    <t>共橙一站式超市（永修建昌大道店）-59km
  惠宜选-九江市柴桑店-86km
  共橙一站式超市(九江八里湖大道店)-16km
  共橙一站式超市(九江花溪路店)-7km     
  共橙一站式超市(九江浔阳东路店)-10km  
  共橙一站式超市(瑞昌赤乌大道店)-55km</t>
  </si>
  <si>
    <t>共橙一站式超市(南昌明月山大道店)-7.7km       
  共橙一站式超市(南昌招贤大道店)-13km        
  共橙一站式超市(南昌经开区庐山南大道店)-15km
  共橙一站式超市(南昌东祥路店)-56km
  共橙一站式超市(进贤昌盛路店)-63km
  共橙一站式超市(鹰潭余江区白塔东路店)-66km     
  共橙一站式超市(鹰潭五洲路店)-23km</t>
  </si>
  <si>
    <t>共橙一站式超市(宁都县登峰大道店)-294.0km
  共橙一站式超市(于都杨公路店)-93.0km     
  共橙一站式超市(赣县梅林大街店)-52.0km   
  共橙一站式超市(瑞金龙珠路店)-114km        
  共橙一站式超市(会昌兴会路店)-43.0km     
  共橙一站式超市(安远腾飞路店)-103km        
  共橙一站式超市(定南龙亭路店)-68km</t>
  </si>
  <si>
    <t>共橙一站式超市(南昌长富大道店)-20km
  共橙超市-南昌东湖店-58km
  共橙一站式超市(东乡求学路店)-107km
  惠宜选超市(弋阳县梅山路店)-101.0km
  惠宜选-上饶吾悦广场店-64.0km
  惠宜选-上饶广丰店-33km
  共橙一站式超市(玉山三清大道店)-34km</t>
  </si>
  <si>
    <t>共橙一站式超市(余干县世纪大道店)-122km
  共橙一站式超市(万年建德大街店)-44.0km   
  共橙一站式超市(德兴滨河大道店)-86.0km   
  共橙一站式超市(铅山狮江大道店)-95km</t>
  </si>
  <si>
    <t>共橙一站式超市(赣江东江源大道店)-384km
  共橙一站式超市(南康蓝田大道店)-33km  
  共橙一站式超市(信丰沿江路店)-42km 
  共橙一站式超市(大余建安路店)-76km</t>
  </si>
  <si>
    <t>共橙一站式超市(南昌招贤大道店)-16km  
  共橙一站式超市(樟树药都路店)-95km       
  共橙一站式超市(新干县金川大道店)-37km   
  共橙一站式超市(吉水万里大道店)-65km  
  共橙一站式超市(吉安县赣江大道店)-33km
  共橙一站式超市(永新湘赣大道店)-84km</t>
  </si>
  <si>
    <t>共橙一站式超市(南昌长富大道店)-20km
  惠宜选超市(高安沿江中路店)-57km
  厉臣-宜春市上高店-55km
  共橙一站式超市(宜丰县新昌中路店)-24km
  共橙一站式超市(万载县康乐大道店)-58km
  共橙一站式超市(宜春文体路店)-45km
  惠宜选-江西宜春中山西路店-4.8km</t>
  </si>
  <si>
    <t>共橙一站式超市(进贤昌盛路店)-78km
  共橙一站式超市(东乡求学路店)-41km
  共橙一站式超市(抚州金巢大道店)-52km
  共橙一站式超市(抚州迎宾大道店)-3.4km
  共橙一站式超市(抚州玉茗路店)-6.4km
  共橙一站式超市(崇仁站前路店)-34km
  共橙一站式超市(南城登高路店)-83km</t>
  </si>
  <si>
    <t>共橙一站式超市(南昌招贤大道店)-16.0km
  共橙一站式超市(高安瑞阳大道店)-60km
  惠宜选超市(高安沿江中路店)-3km
  历臣-宜春市上高店-55km
  共橙一站式超市(宜丰县新昌中路店)-24km
  惠宜选九江市修水店-93km</t>
  </si>
  <si>
    <t>共橙一站式超市(南昌明月山大道店)-7.7km
  共橙一站式超市(新余抱石大道店)-145km
  共橙一站式超市(新余市青年路店)-5.5km
  共橙一站式超市(宜春文体路店)-57.0km
  惠宜选-江西宜春中山西路店-4.8km
  惠宜选-萍乡金三角店-61km
  惠宜选超市(萍乡萍安中大道店)-4.4km</t>
  </si>
  <si>
    <t>共橙一站式超市(南昌小洲路店)-36.0km
  共橙一站式超市(鹰潭余江区白塔东路店)-121km
  共橙一站式超市(鹰潭市林荫东路店)-23km</t>
  </si>
  <si>
    <t>共橙一站式超市(南昌长富大道店)-20km
共橙-站式超市(余干县世纪大道店)-123km
共橙-站式超市(万年建德大街店)-44km
共橙-站式超市(德兴滨河大道店)-86km</t>
  </si>
  <si>
    <t>共橙-站式超市(南昌云飞路店)-36km
共橙-站式超市(浮梁县新昌北路店)-208km
惠宜选-江西上饶市婺源店-75km</t>
  </si>
  <si>
    <t>惠宜选超市(弋阳县梅山路店)-207km
惠宜选-上饶吾悦广场店-64km
惠宜选-上饶广丰店-33km
共橙-站式超市(玉山三清大道店)-34km</t>
  </si>
  <si>
    <t>共橙超市-南昌东湖店-46km
共橙-站式超市(南昌京东大道店)-9.1km
共橙-站式超市(景德镇紫晶路店)-176km
共橙-站式超市( 景德镇翠云路店)-10km</t>
  </si>
  <si>
    <t>共橙-站式超市(新干县金川大道店)-120km
共橙-站式超市(瑞金龙珠路店)-276km
共橙-站式超市(会昌兴会路店)-43km
共橙-站式超市(安远腾飞路店)-103km
共橙-站式超市(定南龙亭路店)-68km</t>
  </si>
  <si>
    <t>共橙-站式超市(南昌迎宾中大道店)-30km
共橙-站式超市(进贤昌盛路店)-52km
共橙-站式超市(鹰潭余江区白塔东路店)-64km
共橙-站式超市(鹰潭五洲路店)-23km
共橙-站式超市(鹰潭市林荫东路店)-2km
共橙-站式超市(贵溪雄石东路店)-19.6km</t>
  </si>
  <si>
    <t>共橙-站式超市(南昌招贤大道店)-16km
共橙-站式超市(南昌经开区庐山南大道店)-14km
共橙一站式超市(庐山玉帘路店)-68km
厉臣九江市都昌东风大道店-48km</t>
  </si>
  <si>
    <t>共橙一站式超市(九江八里湖大道店)-141km
共橙-站式超市(九江浔阳东路店)-8.8km
共橙一站式超市(湖口渊明路店)-30km
共橙-站式超市(九江花溪路店)-34km
厉臣便利(彭泽县龙兴路店)-81km</t>
  </si>
  <si>
    <t>共橙-站式超市(南昌东祥路店)-33km
共橙-站式超市(东乡求学路店)-102km
共橙-站式超市(抚州金巢大道店)-43km
共橙-站式超市(抚州迎宾大道店)-2.6km
共橙-站式超市(抚州玉茗路店)-8.8km
共橙-站式超市(崇仁站前路店)-34km
共橙-站式超市(抚州乐安大道店)-58km</t>
  </si>
  <si>
    <t>共橙超市-南昌东湖店-46.0km
共橙-站式超市(鄱阳锦宇大道店)-126km
共橙-站式超市(景德镇紫晶路店)-82km
共橙-站式超市(景德镇翠云路店)-10.5km
共橙一站式超市(浮梁县新昌北路店)-8.3km</t>
  </si>
  <si>
    <t>共橙一站式超市(南昌明月山大道店)-7.4km
共橙-站式超市(南昌小洲路店)-14.8km
共橙-站式超市(新干县金川大道店)-133km
共橙-站式超市(吉水万里大道店)-135km
共橙-站式超市(吉安县赣江大道店)-36km
共橙-站式超市(泰和澄江大道店)-28.3km
共橙一站式超市(永新湘赣大道店)-90km</t>
  </si>
  <si>
    <t>共橙-站式超市(兴国县将军大道店)-321km
共橙-站式超市(赣县梅林大街店)-67km
共橙-站式超市(南康蓝田大道店)-40km
共橙-站式超市(信丰沿江路店)-41km
共橙-站式超市(安远腾飞路店)-91km
共橙-站式超市(定南龙亭路店)-67km</t>
  </si>
  <si>
    <t>共橙-站式超市(南昌经开区庐山南大道店)-26km
共橙-站式超市(永修建昌大道店)-47km
共橙-站式超市(共青城南湖大道店)-36km
共橙一站式超市(庐山玉帘路店)-51km
历臣-九江市都昌东风大道店-48km</t>
  </si>
  <si>
    <t>共橙-站式超市(南昌东祥路店)-32km
共橙-站式超市(瑞昌赤乌大道店)-161km
惠宜选-九江市柴桑店-39km
共橙-站式超市(九江八里湖大道店)-16km
共橙-站式超市(九江浔阳东路店)-14km
共橙-站式超市(湖口渊明路店)-28km</t>
  </si>
  <si>
    <t>共橙-站式超市(南昌迎宾中大道店)-30km
共橙-站式超市(丰城紫云南大道店)-55km
共橙-站式超市(樟树药都路店)-29km
共橙-站式超市(新余抱石大道店)-76km
共橙-站式超市(新余市青年路店)-5.5km
共橙-站式超市(分宜天工南大道店)-27km</t>
  </si>
  <si>
    <t>共橙-站式超市(兴国县将军大道店)-321km
共橙-站式超市(于都杨公路店)-86km
共橙一站式超市(赣县梅林大街店)-52km
共橙-站式超市(赣江东江源大道店)-15km 
共橙一站式超市(信丰沿江路店)-77km
共橙-站式超市(安远腾飞路店)-91km
共橙一站式超市(定南龙亭路店)-67km</t>
  </si>
  <si>
    <t>共橙一站式超市(新干县金川大道店)-120km
共橙-站式超市(抚州乐安大道店)-73km
共橙一站式超市(吉安青原大道店)-97km
共橙一站式超市(吉安县赣江大道店)-15km
共橙-站式超市(泰和澄江大道店)-29km
共橙一站式超市(永新湘赣大道店)-89km</t>
  </si>
  <si>
    <t>共橙-站式超市(进贤吴万街店)-78km
共橙-站式超市(东乡求学路店)-42km
共橙-站式超市(金溪县秀谷西大道店)-49km</t>
  </si>
  <si>
    <t>共橙一站式超市(南昌长富大道店)-20km
共橙超市-南昌东湖店-58km
共橙一站式超市(余干县世纪大道店)-94km
共橙-站式超市(万年建德大街店)-44km
共橙-站式超市(德兴滨河大道店)-86km
惠宜选-江西上饶市婺源店-61km</t>
  </si>
  <si>
    <t>共橙-站式超市(南昌云飞路店)-36km
共橙一站式超市(南昌小洲路店)-4.8km
惠宜选-超市(弋阳县梅山路店)-192km
惠宜选-上饶吾悦广场店-64km
惠宜选-上饶广丰店-33km
共橙-站式超市(玉山三清大道店)-34km</t>
  </si>
  <si>
    <t>共橙-站式超市(樟树药都路店)-87km
共橙一站式超市(新余抱石大道店)-76km
共橙-站式超市(新余市青年路店)-5.5km
共橙-站式超市(分宜县天工南大道店)-27km
共橙一站式超市(宜春文体路店)-34km
惠宜选-江西宜春中山西路店-4.8km</t>
  </si>
  <si>
    <t>共橙一站式超市(南昌东祥路店)-32km
共橙-站式超市(南昌小洲路店)-5.2km
共橙-站式超市(进贤昌盛路店)-59km
共橙一站式超市(鹰潭五洲路店)-88km
共橙-站式超市(贵溪雄石东路店)-27km</t>
  </si>
  <si>
    <t>共橙-站式超市(九江花溪路店)-145km
共橙-站式超市(九江浔阳东路店)-10km
共橙-站式超市(湖口渊明路店)-28km
厉臣便利(彭泽县龙兴路店)-34km</t>
  </si>
  <si>
    <t>共橙-站式超市(南昌招贤大道店)-16km
惠宜选-九江市柴桑店-119km
共橙-站式超市(九江八里湖大道店)-16km</t>
  </si>
  <si>
    <t>共橙-站式超市(南昌长富大道店)-20km
共橙一站式超市(庐山玉帘路店)-124km
共橙一站式超市(庐山星光大道店)-1.8km</t>
  </si>
  <si>
    <t>共橙一站式超市(共青城南湖大道店)-90km
共橙一站式超市(瑞昌赤乌大道店)-76km</t>
  </si>
  <si>
    <t>共橙超市-南昌东湖店-46km
共橙一站式超市(南昌京东大道店)-9.1km
共橙-站式超市(永修建昌大道店)-61km
厉臣-九江市都昌东风大道店-108km</t>
  </si>
  <si>
    <t>共橙-站式超市(安义学府大道店)-42km
共橙-站式超市(奉新县迎宾大道店)-31km
共橙-站式超市(宜丰县新昌中路店)-92km
惠宜选-九江市修水店-93km</t>
  </si>
  <si>
    <t>共橙-站式超市(吉水万里大道店)-217km
共橙-站式超市(吉安县赣江大道店)-33km
共橙一站式超市(泰和澄江大道店)-29km
共橙一站式超市(永新湘赣大道店)-89km
共橙一站式超市(井冈山步云山路店)-45km
共橙-站式超市(遂川川江南路店)-96km
共橙-站式超市(上犹文锦路店)-94km</t>
  </si>
  <si>
    <t>共橙-站式超市(崇仁站前路店)-126km
共橙-站式超市(宁都县登峰大道店)-171km
共橙-站式超市(于都杨公路店)-94km
共橙-站式超市(瑞金龙珠路店)-79km
共橙一站式超市(会昌兴会路店)-43km</t>
  </si>
  <si>
    <t>共橙-站式超市(南城登高路店)-169km
共橙一站式超市(南丰南广路店)-42km
共橙一站式超市(黎川杏林路店)-56km</t>
  </si>
  <si>
    <t>共橙一站式超市(进贤昌盛路店)-78km
惠宜选-上饶吾悦广场店-179km
惠宜选-上饶广丰店-31km
共橙-站式超市(玉山三清大道店)-34km</t>
  </si>
  <si>
    <t>共橙一站式超市(余干县世纪大道店)-122km
共橙一站式超市(鄱阳锦宇大道店)-46km
共橙一站式超市(万年建德大街店)-67km
惠宜选超市(弋阳县梅山路店)-63km</t>
  </si>
  <si>
    <t>共橙-站式超市(南昌招贤大道店)-16km
共橙-站式超市(南昌长富大道店)-7.7km
共橙一站式超市(抚州乐安大道店)-165km
共橙-站式超市(抚州玉茗路店)-92km
共橙-站式超市(抚州迎宾大道店)-8km
共橙一站式超市(抚州金巢大道店)-3.3km
共橙-站式超市(金溪县秀谷西大道店)-42km</t>
  </si>
  <si>
    <t>共橙-站式超市(安义学府大道店)-42km
惠宜选-九江市柴桑店-111km
共橙一站式超市(九江浔阳东路店)-25km
共橙-站式超市(湖口渊明路店)-28km
厉臣便利(彭泽县龙兴路店)-34km</t>
  </si>
  <si>
    <t>共橙-站式超市(南昌经开区庐山南大道店)-26km
共橙一站式超市(共青城南湖大道店)-68km
共橙-站式超市(瑞昌赤乌大道店)-76km</t>
  </si>
  <si>
    <t>共橙超市-南昌东湖店-46km
共橙-站式超市(南昌国威路店)-6.6km
共橙一站式超市(南昌京东大道店)-6.1km
共橙-站式超市(庐山玉帘路店)-130km
厉臣-九江市都昌东风大道店-48km</t>
  </si>
  <si>
    <t>共橙-站式超市(南昌解放西路店)-46km
共橙-站式超市(进贤吴万街店)-57km
共橙一站式超市(进贤昌盛路店)-2.2km
共橙一站式超市(鹰潭余江区白塔东路店)-66km
共橙一站式超市(鹰潭五洲路店)-23km
共橙-站式超市(鹰潭市林荫东路店)-3.4km
共橙一站式超市(贵溪雄石东路店)-20km</t>
  </si>
  <si>
    <t>共橙-站式超市(南昌长富大道店)-20km
共橙-站式超市(南昌招贤大道店)-7.6km
共橙-站式超市(奉新县迎宾大道店)-56km
共橙-站式超市(宜丰县新昌中路店)-92km
惠宜选-九江市修水店-93km</t>
  </si>
  <si>
    <t>共橙一站式超市（崇仁站前路店）-126.0km
  共橙一站式超市（宜黄县凤凰路店）-38km
  共橙一站式超市（宁都县登峰大道店）-137.0km
  共橙一站式超市（瑞金龙珠路店）-75.0km
  共橙一站式超市（会昌兴会路店）-43km
  共橙一站式超市（安远腾飞路店）-103.0km
  共橙一站式超市（定南龙亭路店）-68.0km</t>
  </si>
  <si>
    <t>共橙超市-南昌东湖店-46.0km
  共橙一站式超市（南昌京东大道店）-9.1km
  共橙一站式超市（金溪县秀谷西大道店）-143km
  共橙一站式超市（南城登高路店）-47.0km
  共橙一站式超市（南丰南广路店）-43.0km
  共橙一站式超市（黎川杏林路店）-56.0km</t>
  </si>
  <si>
    <t>共橙一站式超市（南昌小洲路店）-36.0km
  共橙一站式超市（东乡求学路店）-100.0km
  惠宜选超市（戈阳县梅山路店）-102km
  惠宜选-上饶吾悦广场店-54km
  惠宜选-上饶广丰店-31.0km
  共橙一站式超市（玉山三清大道店）-34.0km</t>
  </si>
  <si>
    <t>共橙一站式超市（鄱阳县五一北路店）-151km
  共橙一站式超市（景德镇紫晶路店）-85.0km
  共橙一站式超市（景德镇翠云路店）-10km
  共橙一站式超市（浮梁县新昌北路店）-13.0km</t>
  </si>
  <si>
    <t>共橙一站式超市（新干县金川大道店）-120.0km
  共橙一站式超市（吉水万里大道店）-65.0km
  共橙一站式超市（吉安青原大道店）-20.0km
  共橙一站式超市（吉安县赣江大道店）-15.0km
  共橙一站式超市（泰和澄江大道店）-29.0km
  共橙一站式超市（井冈山步云山路店）-80.0km</t>
  </si>
  <si>
    <t>共橙一站式超市（南昌迎宾中大道店）-30.0km
  共橙一站式超市（进贤吴万街店）-56km
  共橙一站式超市（进贤昌盛路店）-63.0km
  共橙一站式超市（鹰潭余江区白塔东路店）-66.0km
  共橙一站式超市（鹰潭五洲路店）-23.0km
  共橙一站超市（贵溪雄石东路店）-27.0km</t>
  </si>
  <si>
    <t>共橙一站式超市（南昌招贤大道店）-16.0km
  共橙一站式超市（南昌长富大道店）-7.7km
  共橙一站式超市（高安瑞阳大道店）-41.0km
  惠宜选超市（高安沿江中路店）-3.0km
  共橙一站式超市（丰城府佑东路店）-56km</t>
  </si>
  <si>
    <t>共橙一站式超市（南昌东祥路店）-32.0km
  共橙一站式超市（南昌解放西路店）-46.0km
  共橙一站式超市（南昌国威路店）-6.6km
  共橙一站式超市（共青城南湖大道店）-90.0km
  共橙一站式超市（瑞昌赤乌大道店）-45.0km</t>
  </si>
  <si>
    <t>共橙一站式超市（安义学府大道店）-42.0km
  共橙一站式超市（靖安清华大道店）-25km
  共橙一站式超市（奉新县迎宾大道店）-31.0km
  共橙一站式超市（宜丰县新昌中路店）-92.0km
  惠宜选-九江市修水店-93.0km</t>
  </si>
  <si>
    <t>共橙一站式超市（余干县世纪大道店）-122.0km
  共橙一站式超市（景德镇紫晶路店）-83.0km
  共橙一站式超市（景德镇翠云路店）-10km
  共橙一站式超市（浮梁县新昌北路店）-16.0km</t>
  </si>
  <si>
    <t>共橙一站式超市（新干县金川大道店）-120.0km
  共橙一站式超市（吉安青原大道店）-97.0km
  共橙一站式超市（吉安县赣江大道店）-15.0km
  共橙一站式超市（泰和澄江大道店）-29.0km
  共橙一站式超市（永新湘赣大道店）-89.0km
  共橙一站式超市（遂川川江南路店）-125.0km
  共橙一站式超市（上犹文锦路店）-94.0km</t>
  </si>
  <si>
    <t>共橙一站式超市（兴国县将军大道店）-321.0km
  共橙一站式超市（于都杨公路店）-93.0km
  共橙一站式超市（赣县梅林大街店）-52.0km
  共橙一站式超市（南康蓝田大道店）-33.0km
  共橙一站式超市（信丰沿江路店）-42.0km
  共橙一站式超市（大余建安路店）-76.0km</t>
  </si>
  <si>
    <t>共橙一站式超市（抚州玉茗路店）-123.0km
  共橙一站式超市（抚州迎宾大道店）-8.8km
  共橙一站式超市（抚州金巢大道店）-3.3km
  共橙一站式超市（南城登高路店）-65.0km
  共橙一站式超市（南丰南广路店）-43.0km
  共橙一站式超市（黎川杏林路店）-56.0km</t>
  </si>
  <si>
    <t>共橙一站式超市（南昌明月山大道店）-7.4km
  厉臣-宜春市上高店-54.0km
  共橙一站式超市（宜丰县新昌中路店）-24.0km
  共橙一站式超市（万载县康乐大道店）-86.0km</t>
  </si>
  <si>
    <t>共橙一站式超市（南昌小洲路店）-36.0km
  共橙一站式超市（新余抱石大道店）-145.0km
  共橙一站式超市（新余市青年路店）-5.5km
  共橙一站式超市（分宜县天工南大道店）-27.0km
  共橙一站式超市（宜春文体路店）-45.0km
  惠宜选-江西宜春中山西路店-4.8km</t>
  </si>
  <si>
    <t>供橙一站式超市（宜春万载县康乐大道将军西大道）-152km</t>
  </si>
  <si>
    <t>共橙一站式超市（南昌京东大道店）-9.1km
  共橙一站式超市（九江八里湖大道店）-141.0km</t>
  </si>
  <si>
    <t>共橙一站式超市（南昌招贤大道店）-16.0km
  共橙一站式超市（安义学府大道店）-42.0km
  共橙一站式超市（永修建昌大道店）-62.0km
  共橙一站式超市（武宁月山路店）-81.0km</t>
  </si>
  <si>
    <t>共橙一站式超市（九江花溪路店）-145km
  共橙一站式超市（九江浔阳东路店）-10.0km
  共橙一站式超市（湖口渊明路店）-30km
  厉臣便利（彭泽县龙兴路店）-35.0km</t>
  </si>
  <si>
    <t>共橙超市-南昌东湖店-46.0km
  惠宜选-九江市柴桑店-54.0km
  共橙一站式超市（瑞昌赤乌大道店）-35.0km</t>
  </si>
  <si>
    <t>共橙一站式超市（南昌东祥路店）-32.0km
  共橙一站式超市（丰城府佑东路店）-63km
  共橙一站式超市（丰城紫云南大道店）-1.1km
  共橙一站式超市（新余抱石大道店）-103km
  共橙一站式超市（新余市青年路店）-5.5km
  共橙一站式超市（分宜县天工南大道店）-27.0km</t>
  </si>
  <si>
    <t>共橙一站式超市（南昌小洲路店）-36.0km
  共橙一站式超市（南昌迎宾中大道店）-30.0km
  共橙一站式超市（抚州金巢大道店）-52.0km
  共橙一站式超市（抚州迎宾大道店）-3.4km
  共橙一站式超市（抚州玉茗路店）-6.4km
  共橙一站式超市（崇仁站前路店）-34.0km</t>
  </si>
  <si>
    <t>共橙一站式超市( 景德镇翠云路店)-221km
共橙-站式超市(浮梁县新昌北路店)-13km</t>
  </si>
  <si>
    <t>共橙一站式超市(南昌解放西路店)-46km
共橙-站式超市(鄱阳县五一北路店)-113km
共橙-站式超市(鄱阳锦宇大道店)-3.8km
共橙一站式超市( 景德镇紫晶路店)-83km</t>
  </si>
  <si>
    <t>共橙一站式超市(南昌招贤大道店)-16km
共橙一站式超市(南昌东祥路店)-24km
共橙一站式超市（余干县世纪大道店）-104km
共橙一站式超市(万年建德大街店）-44km</t>
  </si>
  <si>
    <t>共橙一站式超市 (吉安田侯路店)-207km
共橙一站式超市（吉安县赣江大道店）-11km
共橙一站式超市 (泰和澄江大道店)-29km
共橙一站式超市 (永新湘赣大道店)-87km
共橙一站式超市(井冈山步云山路店)-45km
共橙一站式超市(遂川川江南路店)-96km</t>
  </si>
  <si>
    <t>共橙一站式超市 (赣县梅林大街店)-380km
共橙一站式超市(赣江东江源大道店）-16km
共橙一站式超市 (南康蓝田大道店)-33km
共橙一站式超市 (上犹文锦路店)-40km
共橙一站式超市 (崇义章源大道店)-33km
共橙一站式超市 (大余建安路店)-48km
共橙一站式超市 (信丰沿江路店)-88km</t>
  </si>
  <si>
    <t>共橙一站式超市(金溪县秀谷西大道店)-171km
共橙一站式超市 (南城登高路店)-47km
共橙一站式超市 (南丰南广路店)-42km
共橙一站式超市(黎川杏林路店)-56km</t>
  </si>
  <si>
    <t>共橙一站式超市(安义学府大道店)-42km
共橙一站式超市 (靖安清华大道店)-25km
共橙一站式超市（奉新县迎宾大道店）-31km
共橙一站式超市(宜丰县新昌中路店）-92km
惠宜选-九江市修水店-93km</t>
  </si>
  <si>
    <t>惠宜选-九江市柴桑店-133km
共橙一站式超市 (九江八里湖大道店)-16km
共橙一站式超市 (九江浔阳东路店)-8.8km
共橙一站式超市(湖口渊明路店)-30km
厉臣便利 (彭泽县龙兴路店)-34km</t>
  </si>
  <si>
    <t>共橙一站式超市 (南昌东祥路店)-32km
共橙一站式超市 (南昌小洲路店)-5.2km
共橙一站式超市 (南昌迎宾中大道店)-30km
共橙一站式超市(进贤吴万街店)-56km
共橙一站式超市 (进贤昌盛路店)-63km
共橙一站式超市 (鹰潭余江区白塔东路店)-66km
共橙一站式超市(鹰潭五洲路店)-23km
共橙一站式超市(鹰潭市林荫东路店)-2km</t>
  </si>
  <si>
    <t>共橙一站式超市(南昌长富大道店)-20km
共橙一站式超市 (南昌京东大道店)-56km
共橙一站式超市 (德安宝塔大道店)-91km
共橙一站式超市(瑞昌赤乌大道店)-73km</t>
  </si>
  <si>
    <t>共橙一站式超市(南昌招贤大道店)-16km
共橙一站式超市（南昌经开区庐山南大道店）-14km
共橙一站式超市(永修建昌大道店)-47km
共橙一站式超市(共青城南湖大道店)-36km</t>
  </si>
  <si>
    <t>共橙一站式超市（东乡求学路店）-116km
惠宜选超市（弋阳县梅山路店）-101km
惠宜选-上饶吾悦广场店-64km
惠宜选-上饶广丰店-33km
共橙一站式超市（玉山三清大道店）-34km</t>
  </si>
  <si>
    <t>共橙一站式超市 (余干县世纪大道店)-122km
共橙一站式超市 (景德镇紫晶路店)-83km
共橙一站式超市（景德镇翠云路店）-10km
共橙一站式超市 (浮梁县新昌北路店)-16km</t>
  </si>
  <si>
    <t>共橙一站式超市(抚州玉茗路店)-123km
共橙一站式超市 (抚州迎宾大道店)-8.8km
共橙一站式超市 (抚州金巢大道店)-3.3km
共橙一站式超市 (金溪县秀谷西大道店)-47km
共橙一站式超市 (南城登高路店)-65km
共橙一站式超市 (南丰南广路店)-43km
共橙一站式超市 (黎川杏林路店)-56km</t>
  </si>
  <si>
    <t>共橙一站式超市 (抚州乐安大道店)-151km
共橙一站式超市 (吉水万里大道店)-85km
共橙一站式超市（宁都县登峰大道店）-166km
共橙一站式超市 (瑞金龙珠路店)-75km
共橙一站式超市(会昌兴会路店)-43km
共橙一站式超市 (信丰沿江路店)-130km
共橙一站式超市(安远腾飞路店)-91km
共橙一站式超市(定南龙亭路店)-67km</t>
  </si>
  <si>
    <t>共橙一站式超市(南昌明月山大道店）-9.8km
共橙一站式超市(南昌云飞路店) -14.1km
共橙一站式超市（南昌国威路店）-17.4km
共橙一站式超市（庐山玉帘路店）-155km
共橙一站式超市（庐山星光大道店）-1.7km
厉臣(九江市都昌东风大道店) -48km</t>
  </si>
  <si>
    <t>共橙一站式超市(南昌招贤大道店)-16km
共橙一站式超市（高安瑞阳大道店）-60km
共橙一站式超市（丰城府佑东路店）-58km
共橙一站式超市（丰城紫云南大道店）-1.1km</t>
  </si>
  <si>
    <t>共橙一站式超市（南昌长富大道店）-20km 
共橙一站式超市(安义学府大道店) -45km
共橙一站式超市（奉新县迎宾大道店）-34km
共橙一站式超市（宜丰县新昌中路店）-105km
惠宜选-九江市修水店 -92km
共橙一站式超市（武宁月山路店）-81km</t>
  </si>
  <si>
    <t>共橙一站式超市(南昌解放西路店)-46km
共橙一站式超市（进贤吴万街店）-57km
共橙一站式超市 (进贤昌盛路店)-2.2km
共橙一站式超市（鹰潭五洲路店）-88km
共橙一站式超市（鹰潭市林荫东路店）-2km
共橙一站式超市（贵溪雄石东路店）-19.6km</t>
  </si>
  <si>
    <t>共橙一站式超市 (新干县金川大道店)-145km
共橙一站式超市(永丰欧阳修大道店）-91km
共橙一站式超市 (吉安田侯路店)-59km
共橙一站式超市(吉安县赣江大道店）-10.9km
共橙一站式超市 (泰和澄江大道店)-29.1km
共橙一站式超市 (永新湘赣大道店)-90km
共橙一站式超市 (井冈山步云山路店)-45km</t>
  </si>
  <si>
    <t>共橙一站式超市(抚州乐安大道店）-151km
共橙一站式超市(兴国县将军大道店）-180km
共橙一站式超市(于都杨公路店)-101km
共橙一站式超市 (赣县梅林大街店)-50km
共橙一站式超市 (赣江东江源大道店)--14.7km
共橙一站式超市 (上犹文锦路店)-44km
共橙一站式超市 (崇义章源大道店)-33km
共橙一站式超市(信丰沿江路店)-118km</t>
  </si>
  <si>
    <t>共橙一站式超市(南昌小洲路店)-36km
共橙一站式超市(抚州金巢大道店）-106km
共橙一站式超市(抚州迎宾大道店）-2.6km
共橙一站式超市 (抚州玉茗路店)-8.8km
共橙一站式超市(崇仁站前路店)-34km
共橙一站式超市（宜黄县凤凰路店）-44km
共橙一站式超市(南丰南广路店)-63km
共橙一站式超市(黎川杏林路店)-55km</t>
  </si>
  <si>
    <t>共橙一站式超市（南昌明月山大道店）-9.8km
共橙一站式超市（新余抱石大道店）-166km
共橙一站式超市（新余市青年路店）-5km
共橙一站式超市（分宜县天工南大道店）-28.1km
共橙一站式超市（宜春文体路店）-34km
惠宜选-江西宜春中山西路店-5.3km</t>
  </si>
  <si>
    <t>共橙一站式超市(南昌招贤大道店)-16km
共橙一站式超市(南昌长富大道店)-7.7km
共橙超市-南昌东湖店-19.2km
共橙一站式超市（高安瑞阳大道店）-73km
厉臣-宜春市上高店-54km
共橙一站式超市（宜丰县新昌中路店）-25.1km
共橙一站式超市（万载县康乐大道店）-58km</t>
  </si>
  <si>
    <t>惠宜选-九江市柴桑店-133km
共橙一站式超市（九江花溪路店）-17km
共橙一站式超市（九江浔阳东路店）-10km
共橙一站式超市（湖口渊明路店）-30km
厉臣便利（彭泽县龙兴路店）-34km</t>
  </si>
  <si>
    <t>共橙一站式超市（安义学府大道店）-42km
共橙一站式超市（永修建昌大道店）-62km
共橙一站式超市（共青城南湖大道店）-36km
共橙一站式超市（庐山玉帘路店）-51km
厉臣-九江市都昌东风大道店-48km</t>
  </si>
  <si>
    <t>共橙超市-南昌东湖店-46km
共橙一站式超市（南昌京东大道店）-9.1km
共橙一站式超市（进贤吴万街店）-64km
共橙一站式超市（进贤昌盛路店）-2.2km
共橙一站式超市（鹰潭余江区白塔东路店）-66km
共橙一站式超市（鹰潭五洲路店）-23km
共橙一站式超市（鹰潭市林荫东路店）-2km</t>
  </si>
  <si>
    <t>共橙一站式超市 (宜黄县凤凰路店)-177km
共橙一站式超市 (南城登高路店)-74km
共橙一站式超市(黎川杏林路店)-56km
共橙一站式超市(南丰南广路店)-54km
共橙一站式超市(广昌站前路店)-52km</t>
  </si>
  <si>
    <t>共橙一站式超市 (进贤昌盛路店)-79km
共橙一站式超市 (金溪县秀谷西大道店)-92km
惠宜选超市 (弋阳县梅山路店)-121km
共橙一站式超市 (横峰兴安大道店)-19.4km</t>
  </si>
  <si>
    <t>共橙一站式超市 (南昌东祥路店)-33km
共橙一站式超市 (万年建德大街店)-145km
共橙一站式超市（德兴滨河大道店）-86km
惠宜选-江西上饶市婺源店-77km</t>
  </si>
  <si>
    <t>共橙一站式超市 (南昌招贤大道店)-18.5km
共橙一站式超市 (南昌长富大道店)-7.9km
共橙一站式超市 (南昌解放西路店)-19.4km
共橙一站式超市(余干县世纪大道店)-87km
共橙一站式超市(鄱阳锦宇大道店）-46km</t>
  </si>
  <si>
    <t>共橙一站式超市（永新湘赣大道店）-300km
共橙一站式超市（井冈山步云山路店）-45km
共橙一站式超市（遂川川江南路店）-100km
共橙一站式超市（赣江东江源大道店）-105km
共橙一站式超市（上犹文锦路店）-184km
共橙一站式超市（南康蓝田大道店）-52km
共橙一站式超市（信丰沿江路店）-42km
共橙一站式超市(大余建安路店）-93km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</si>
</sst>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58" fontId="1" fillId="0" borderId="4" xfId="0" applyNumberFormat="1" applyFont="1" applyBorder="1" applyAlignment="1">
      <alignment horizontal="center" vertical="center" wrapText="1"/>
    </xf>
    <xf numFmtId="58" fontId="1" fillId="0" borderId="2" xfId="0" applyNumberFormat="1" applyFont="1" applyBorder="1" applyAlignment="1">
      <alignment vertical="center" wrapText="1"/>
    </xf>
    <xf numFmtId="58" fontId="1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tabSelected="1" workbookViewId="0">
      <pane ySplit="1" topLeftCell="A119" activePane="bottomLeft" state="frozen"/>
      <selection/>
      <selection pane="bottomLeft" activeCell="F127" sqref="F127"/>
    </sheetView>
  </sheetViews>
  <sheetFormatPr defaultColWidth="15.6666666666667" defaultRowHeight="14.25"/>
  <cols>
    <col min="1" max="1" width="11.3333333333333" style="1" customWidth="1"/>
    <col min="2" max="2" width="11.1083333333333" style="1" customWidth="1"/>
    <col min="3" max="3" width="41.225" style="1" customWidth="1"/>
    <col min="4" max="4" width="15.8916666666667" style="1" customWidth="1"/>
    <col min="5" max="5" width="12.1083333333333" style="1" hidden="1" customWidth="1"/>
    <col min="6" max="7" width="15.6666666666667" style="2" customWidth="1"/>
    <col min="8" max="8" width="14.225" style="2" customWidth="1"/>
    <col min="9" max="9" width="12.225" style="2" customWidth="1"/>
    <col min="10" max="10" width="11.5583333333333" style="2" customWidth="1"/>
    <col min="11" max="11" width="15.6666666666667" style="2" customWidth="1"/>
    <col min="12" max="13" width="15.6666666666667" style="1" customWidth="1"/>
    <col min="14" max="16384" width="15.6666666666667" style="1"/>
  </cols>
  <sheetData>
    <row r="1" ht="30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8</v>
      </c>
      <c r="L1" s="3" t="s">
        <v>9</v>
      </c>
      <c r="M1" s="3" t="s">
        <v>10</v>
      </c>
      <c r="N1" s="3" t="s">
        <v>11</v>
      </c>
    </row>
    <row r="2" ht="57" spans="1:14">
      <c r="A2" s="3">
        <v>1</v>
      </c>
      <c r="B2" s="5">
        <v>45901</v>
      </c>
      <c r="C2" s="3" t="s">
        <v>12</v>
      </c>
      <c r="D2" s="3" cm="1">
        <f t="array" ref="D2">SUM(VALUE(SUBSTITUTE(_xlfn.TEXTAFTER(_xlfn.TEXTSPLIT(C2,CHAR(10)),"-",-1),"km","")))</f>
        <v>311</v>
      </c>
      <c r="E2" s="3">
        <f>42+63+10+12+10+8</f>
        <v>145</v>
      </c>
      <c r="F2" s="4">
        <f t="shared" ref="F2:F65" si="0">G2/1.09</f>
        <v>3.76146788990826</v>
      </c>
      <c r="G2" s="4">
        <f>IF(D2&gt;=301,4.1,IF(D2&gt;=201,4.3,IF(D2&gt;=101,4.5,"")))</f>
        <v>4.1</v>
      </c>
      <c r="H2" s="4">
        <f t="shared" ref="H2:H65" si="1">D2*F2</f>
        <v>1169.81651376147</v>
      </c>
      <c r="I2" s="4">
        <f t="shared" ref="I2:I65" si="2">D2*G2</f>
        <v>1275.1</v>
      </c>
      <c r="J2" s="4">
        <f>IF(D2&gt;=301,3.2,IF(D2&gt;=201,3.5,IF(D2&gt;=101,3.5,"")))</f>
        <v>3.2</v>
      </c>
      <c r="K2" s="4">
        <f t="shared" ref="K2:K65" si="3">D2*J2</f>
        <v>995.2</v>
      </c>
      <c r="L2" s="3"/>
      <c r="M2" s="3"/>
      <c r="N2" s="3"/>
    </row>
    <row r="3" ht="57" spans="1:14">
      <c r="A3" s="3">
        <v>2</v>
      </c>
      <c r="B3" s="6"/>
      <c r="C3" s="3" t="s">
        <v>13</v>
      </c>
      <c r="D3" s="3" cm="1">
        <f t="array" ref="D3">SUM(VALUE(SUBSTITUTE(_xlfn.TEXTAFTER(_xlfn.TEXTSPLIT(C3,CHAR(10)),"-",-1),"km","")))</f>
        <v>121</v>
      </c>
      <c r="E3" s="3">
        <f>143+48+43+36</f>
        <v>270</v>
      </c>
      <c r="F3" s="4">
        <f t="shared" si="0"/>
        <v>4.12844036697248</v>
      </c>
      <c r="G3" s="4">
        <f t="shared" ref="G3:G34" si="4">IF(D3&gt;=301,4.1,IF(D3&gt;=201,4.3,IF(D3&gt;=101,4.5,"")))</f>
        <v>4.5</v>
      </c>
      <c r="H3" s="4">
        <f t="shared" si="1"/>
        <v>499.54128440367</v>
      </c>
      <c r="I3" s="4">
        <f t="shared" si="2"/>
        <v>544.5</v>
      </c>
      <c r="J3" s="4">
        <f>IF(D3&gt;=301,3.2,IF(D3&gt;=201,3.5,IF(D3&gt;=101,3.5,"")))</f>
        <v>3.5</v>
      </c>
      <c r="K3" s="4">
        <f t="shared" si="3"/>
        <v>423.5</v>
      </c>
      <c r="L3" s="3"/>
      <c r="M3" s="3"/>
      <c r="N3" s="3"/>
    </row>
    <row r="4" ht="114" spans="1:14">
      <c r="A4" s="3">
        <v>3</v>
      </c>
      <c r="B4" s="6"/>
      <c r="C4" s="3" t="s">
        <v>14</v>
      </c>
      <c r="D4" s="3" cm="1">
        <f t="array" ref="D4">SUM(VALUE(SUBSTITUTE(_xlfn.TEXTAFTER(_xlfn.TEXTSPLIT(C4,CHAR(10)),"-",-1),"km","")))</f>
        <v>370.9</v>
      </c>
      <c r="E4" s="3">
        <v>1</v>
      </c>
      <c r="F4" s="4">
        <f t="shared" si="0"/>
        <v>3.76146788990826</v>
      </c>
      <c r="G4" s="4">
        <f t="shared" si="4"/>
        <v>4.1</v>
      </c>
      <c r="H4" s="4">
        <f t="shared" si="1"/>
        <v>1395.12844036697</v>
      </c>
      <c r="I4" s="4">
        <f t="shared" si="2"/>
        <v>1520.69</v>
      </c>
      <c r="J4" s="4">
        <f t="shared" ref="J4:J35" si="5">IF(D4&gt;=301,3.2,IF(D4&gt;=201,3.5,IF(D4&gt;=101,3.5,"")))</f>
        <v>3.2</v>
      </c>
      <c r="K4" s="4">
        <f t="shared" si="3"/>
        <v>1186.88</v>
      </c>
      <c r="L4" s="3"/>
      <c r="M4" s="3"/>
      <c r="N4" s="3"/>
    </row>
    <row r="5" ht="57" spans="1:14">
      <c r="A5" s="7">
        <v>4</v>
      </c>
      <c r="B5" s="8">
        <v>45902</v>
      </c>
      <c r="C5" s="7" t="s">
        <v>15</v>
      </c>
      <c r="D5" s="7" cm="1">
        <f t="array" ref="D5">SUM(VALUE(SUBSTITUTE(_xlfn.TEXTAFTER(_xlfn.TEXTSPLIT(C5,CHAR(10)),"-",-1),"km","")))</f>
        <v>261</v>
      </c>
      <c r="E5" s="7">
        <f>98+96</f>
        <v>194</v>
      </c>
      <c r="F5" s="9">
        <f t="shared" si="0"/>
        <v>3.94495412844037</v>
      </c>
      <c r="G5" s="4">
        <f t="shared" si="4"/>
        <v>4.3</v>
      </c>
      <c r="H5" s="9">
        <f t="shared" si="1"/>
        <v>1029.63302752294</v>
      </c>
      <c r="I5" s="9">
        <f t="shared" si="2"/>
        <v>1122.3</v>
      </c>
      <c r="J5" s="4">
        <f t="shared" si="5"/>
        <v>3.5</v>
      </c>
      <c r="K5" s="9">
        <f t="shared" si="3"/>
        <v>913.5</v>
      </c>
      <c r="L5" s="7"/>
      <c r="M5" s="7"/>
      <c r="N5" s="7"/>
    </row>
    <row r="6" ht="99.75" spans="1:14">
      <c r="A6" s="3">
        <v>5</v>
      </c>
      <c r="B6" s="8"/>
      <c r="C6" s="3" t="s">
        <v>16</v>
      </c>
      <c r="D6" s="3" cm="1">
        <f t="array" ref="D6">SUM(VALUE(SUBSTITUTE(_xlfn.TEXTAFTER(_xlfn.TEXTSPLIT(C6,CHAR(10)),"-",-1),"km","")))</f>
        <v>404</v>
      </c>
      <c r="E6" s="3">
        <f>120+74+34+43</f>
        <v>271</v>
      </c>
      <c r="F6" s="4">
        <f t="shared" si="0"/>
        <v>3.76146788990826</v>
      </c>
      <c r="G6" s="4">
        <f t="shared" si="4"/>
        <v>4.1</v>
      </c>
      <c r="H6" s="4">
        <f t="shared" si="1"/>
        <v>1519.63302752294</v>
      </c>
      <c r="I6" s="4">
        <f t="shared" si="2"/>
        <v>1656.4</v>
      </c>
      <c r="J6" s="4">
        <f t="shared" si="5"/>
        <v>3.2</v>
      </c>
      <c r="K6" s="4">
        <f t="shared" si="3"/>
        <v>1292.8</v>
      </c>
      <c r="L6" s="3"/>
      <c r="M6" s="3"/>
      <c r="N6" s="3"/>
    </row>
    <row r="7" ht="57" spans="1:14">
      <c r="A7" s="3"/>
      <c r="B7" s="8"/>
      <c r="C7" s="3" t="s">
        <v>17</v>
      </c>
      <c r="D7" s="3" cm="1">
        <f t="array" ref="D7">SUM(VALUE(SUBSTITUTE(_xlfn.TEXTAFTER(_xlfn.TEXTSPLIT(C7,CHAR(10)),"-",-1),"km","")))</f>
        <v>205</v>
      </c>
      <c r="E7" s="3">
        <f>120+74+34+43</f>
        <v>271</v>
      </c>
      <c r="F7" s="4">
        <f t="shared" si="0"/>
        <v>3.94495412844037</v>
      </c>
      <c r="G7" s="4">
        <f t="shared" si="4"/>
        <v>4.3</v>
      </c>
      <c r="H7" s="4">
        <f t="shared" si="1"/>
        <v>808.715596330275</v>
      </c>
      <c r="I7" s="4">
        <f t="shared" si="2"/>
        <v>881.5</v>
      </c>
      <c r="J7" s="4">
        <f t="shared" si="5"/>
        <v>3.5</v>
      </c>
      <c r="K7" s="4">
        <f t="shared" si="3"/>
        <v>717.5</v>
      </c>
      <c r="L7" s="3"/>
      <c r="M7" s="3"/>
      <c r="N7" s="3"/>
    </row>
    <row r="8" ht="99.75" spans="1:14">
      <c r="A8" s="3">
        <v>6</v>
      </c>
      <c r="B8" s="8"/>
      <c r="C8" s="3" t="s">
        <v>18</v>
      </c>
      <c r="D8" s="3" cm="1">
        <f t="array" ref="D8">SUM(VALUE(SUBSTITUTE(_xlfn.TEXTAFTER(_xlfn.TEXTSPLIT(C8,CHAR(10)),"-",-1),"km","")))</f>
        <v>527</v>
      </c>
      <c r="E8" s="3">
        <f>180+16+9.5+59+47</f>
        <v>311.5</v>
      </c>
      <c r="F8" s="4">
        <f t="shared" si="0"/>
        <v>3.76146788990826</v>
      </c>
      <c r="G8" s="4">
        <f t="shared" si="4"/>
        <v>4.1</v>
      </c>
      <c r="H8" s="4">
        <f t="shared" si="1"/>
        <v>1982.29357798165</v>
      </c>
      <c r="I8" s="4">
        <f t="shared" si="2"/>
        <v>2160.7</v>
      </c>
      <c r="J8" s="4">
        <f t="shared" si="5"/>
        <v>3.2</v>
      </c>
      <c r="K8" s="4">
        <f t="shared" si="3"/>
        <v>1686.4</v>
      </c>
      <c r="L8" s="3"/>
      <c r="M8" s="3"/>
      <c r="N8" s="3"/>
    </row>
    <row r="9" ht="71.25" spans="1:14">
      <c r="A9" s="3">
        <v>7</v>
      </c>
      <c r="B9" s="8"/>
      <c r="C9" s="3" t="s">
        <v>19</v>
      </c>
      <c r="D9" s="3" cm="1">
        <f t="array" ref="D9">SUM(VALUE(SUBSTITUTE(_xlfn.TEXTAFTER(_xlfn.TEXTSPLIT(C9,CHAR(10)),"-",-1),"km","")))</f>
        <v>547</v>
      </c>
      <c r="E9" s="3">
        <f>127+74+42+50</f>
        <v>293</v>
      </c>
      <c r="F9" s="4">
        <f t="shared" si="0"/>
        <v>3.76146788990826</v>
      </c>
      <c r="G9" s="4">
        <f t="shared" si="4"/>
        <v>4.1</v>
      </c>
      <c r="H9" s="4">
        <f t="shared" si="1"/>
        <v>2057.52293577982</v>
      </c>
      <c r="I9" s="4">
        <f t="shared" si="2"/>
        <v>2242.7</v>
      </c>
      <c r="J9" s="4">
        <f t="shared" si="5"/>
        <v>3.2</v>
      </c>
      <c r="K9" s="4">
        <f t="shared" si="3"/>
        <v>1750.4</v>
      </c>
      <c r="L9" s="3"/>
      <c r="M9" s="3"/>
      <c r="N9" s="3"/>
    </row>
    <row r="10" ht="85.5" spans="1:14">
      <c r="A10" s="3">
        <v>9</v>
      </c>
      <c r="B10" s="5">
        <v>45903</v>
      </c>
      <c r="C10" s="3" t="s">
        <v>20</v>
      </c>
      <c r="D10" s="3" cm="1">
        <f t="array" ref="D10">SUM(VALUE(SUBSTITUTE(_xlfn.TEXTAFTER(_xlfn.TEXTSPLIT(C10,CHAR(10)),"-",-1),"km","")))</f>
        <v>232</v>
      </c>
      <c r="E10" s="3">
        <f>98+67+17</f>
        <v>182</v>
      </c>
      <c r="F10" s="4">
        <f t="shared" si="0"/>
        <v>3.94495412844037</v>
      </c>
      <c r="G10" s="4">
        <f t="shared" si="4"/>
        <v>4.3</v>
      </c>
      <c r="H10" s="4">
        <f t="shared" si="1"/>
        <v>915.229357798165</v>
      </c>
      <c r="I10" s="4">
        <f t="shared" si="2"/>
        <v>997.6</v>
      </c>
      <c r="J10" s="4">
        <f t="shared" si="5"/>
        <v>3.5</v>
      </c>
      <c r="K10" s="4">
        <f t="shared" si="3"/>
        <v>812</v>
      </c>
      <c r="L10" s="3"/>
      <c r="M10" s="3"/>
      <c r="N10" s="3"/>
    </row>
    <row r="11" ht="85.5" spans="1:14">
      <c r="A11" s="3">
        <v>10</v>
      </c>
      <c r="B11" s="6"/>
      <c r="C11" s="3" t="s">
        <v>21</v>
      </c>
      <c r="D11" s="3" cm="1">
        <f t="array" ref="D11">SUM(VALUE(SUBSTITUTE(_xlfn.TEXTAFTER(_xlfn.TEXTSPLIT(C11,CHAR(10)),"-",-1),"km","")))</f>
        <v>357</v>
      </c>
      <c r="E11" s="3">
        <f>13+83+10+7+8</f>
        <v>121</v>
      </c>
      <c r="F11" s="4">
        <f t="shared" si="0"/>
        <v>3.76146788990826</v>
      </c>
      <c r="G11" s="4">
        <f t="shared" si="4"/>
        <v>4.1</v>
      </c>
      <c r="H11" s="4">
        <f t="shared" si="1"/>
        <v>1342.84403669725</v>
      </c>
      <c r="I11" s="4">
        <f t="shared" si="2"/>
        <v>1463.7</v>
      </c>
      <c r="J11" s="4">
        <f t="shared" si="5"/>
        <v>3.2</v>
      </c>
      <c r="K11" s="4">
        <f t="shared" si="3"/>
        <v>1142.4</v>
      </c>
      <c r="L11" s="3"/>
      <c r="M11" s="3"/>
      <c r="N11" s="3"/>
    </row>
    <row r="12" ht="57" spans="1:14">
      <c r="A12" s="3"/>
      <c r="B12" s="6"/>
      <c r="C12" s="3" t="s">
        <v>22</v>
      </c>
      <c r="D12" s="3" cm="1">
        <f t="array" ref="D12">SUM(VALUE(SUBSTITUTE(_xlfn.TEXTAFTER(_xlfn.TEXTSPLIT(C12,CHAR(10)),"-",-1),"km","")))</f>
        <v>209.7</v>
      </c>
      <c r="E12" s="3">
        <f>13+83+10+7+8</f>
        <v>121</v>
      </c>
      <c r="F12" s="4">
        <f t="shared" si="0"/>
        <v>3.94495412844037</v>
      </c>
      <c r="G12" s="4">
        <f t="shared" si="4"/>
        <v>4.3</v>
      </c>
      <c r="H12" s="4">
        <f t="shared" si="1"/>
        <v>827.256880733945</v>
      </c>
      <c r="I12" s="4">
        <f t="shared" si="2"/>
        <v>901.71</v>
      </c>
      <c r="J12" s="4">
        <f t="shared" si="5"/>
        <v>3.5</v>
      </c>
      <c r="K12" s="4">
        <f t="shared" si="3"/>
        <v>733.95</v>
      </c>
      <c r="L12" s="3"/>
      <c r="M12" s="3"/>
      <c r="N12" s="3"/>
    </row>
    <row r="13" ht="99.75" spans="1:14">
      <c r="A13" s="3">
        <v>12</v>
      </c>
      <c r="B13" s="8">
        <v>45904</v>
      </c>
      <c r="C13" s="3" t="s">
        <v>23</v>
      </c>
      <c r="D13" s="3" cm="1">
        <f t="array" ref="D13">SUM(VALUE(SUBSTITUTE(_xlfn.TEXTAFTER(_xlfn.TEXTSPLIT(C13,CHAR(10)),"-",-1),"km","")))</f>
        <v>463</v>
      </c>
      <c r="E13" s="3">
        <f>98+55</f>
        <v>153</v>
      </c>
      <c r="F13" s="4">
        <f t="shared" si="0"/>
        <v>3.76146788990826</v>
      </c>
      <c r="G13" s="4">
        <f t="shared" si="4"/>
        <v>4.1</v>
      </c>
      <c r="H13" s="4">
        <f t="shared" si="1"/>
        <v>1741.55963302752</v>
      </c>
      <c r="I13" s="4">
        <f t="shared" si="2"/>
        <v>1898.3</v>
      </c>
      <c r="J13" s="4">
        <f t="shared" si="5"/>
        <v>3.2</v>
      </c>
      <c r="K13" s="4">
        <f t="shared" si="3"/>
        <v>1481.6</v>
      </c>
      <c r="L13" s="3"/>
      <c r="M13" s="3"/>
      <c r="N13" s="3"/>
    </row>
    <row r="14" ht="85.5" spans="1:14">
      <c r="A14" s="3">
        <v>13</v>
      </c>
      <c r="B14" s="8"/>
      <c r="C14" s="3" t="s">
        <v>24</v>
      </c>
      <c r="D14" s="3" cm="1">
        <f t="array" ref="D14">SUM(VALUE(SUBSTITUTE(_xlfn.TEXTAFTER(_xlfn.TEXTSPLIT(C14,CHAR(10)),"-",-1),"km","")))</f>
        <v>610</v>
      </c>
      <c r="E14" s="3">
        <f>184+42+50</f>
        <v>276</v>
      </c>
      <c r="F14" s="4">
        <f t="shared" si="0"/>
        <v>3.76146788990826</v>
      </c>
      <c r="G14" s="4">
        <f t="shared" si="4"/>
        <v>4.1</v>
      </c>
      <c r="H14" s="4">
        <f t="shared" si="1"/>
        <v>2294.49541284404</v>
      </c>
      <c r="I14" s="4">
        <f t="shared" si="2"/>
        <v>2501</v>
      </c>
      <c r="J14" s="4">
        <f t="shared" si="5"/>
        <v>3.2</v>
      </c>
      <c r="K14" s="4">
        <f t="shared" si="3"/>
        <v>1952</v>
      </c>
      <c r="L14" s="3"/>
      <c r="M14" s="3"/>
      <c r="N14" s="3"/>
    </row>
    <row r="15" ht="99.75" spans="1:14">
      <c r="A15" s="3">
        <v>14</v>
      </c>
      <c r="B15" s="8"/>
      <c r="C15" s="3" t="s">
        <v>25</v>
      </c>
      <c r="D15" s="3" cm="1">
        <f t="array" ref="D15">SUM(VALUE(SUBSTITUTE(_xlfn.TEXTAFTER(_xlfn.TEXTSPLIT(C15,CHAR(10)),"-",-1),"km","")))</f>
        <v>337.3</v>
      </c>
      <c r="E15" s="3">
        <f>180+61+46</f>
        <v>287</v>
      </c>
      <c r="F15" s="4">
        <f t="shared" si="0"/>
        <v>3.76146788990826</v>
      </c>
      <c r="G15" s="4">
        <f t="shared" si="4"/>
        <v>4.1</v>
      </c>
      <c r="H15" s="4">
        <f t="shared" si="1"/>
        <v>1268.74311926605</v>
      </c>
      <c r="I15" s="4">
        <f t="shared" si="2"/>
        <v>1382.93</v>
      </c>
      <c r="J15" s="4">
        <f t="shared" si="5"/>
        <v>3.2</v>
      </c>
      <c r="K15" s="4">
        <f t="shared" si="3"/>
        <v>1079.36</v>
      </c>
      <c r="L15" s="3"/>
      <c r="M15" s="3"/>
      <c r="N15" s="3"/>
    </row>
    <row r="16" ht="71.25" spans="1:14">
      <c r="A16" s="3">
        <v>15</v>
      </c>
      <c r="B16" s="8"/>
      <c r="C16" s="3" t="s">
        <v>26</v>
      </c>
      <c r="D16" s="3" cm="1">
        <f t="array" ref="D16">SUM(VALUE(SUBSTITUTE(_xlfn.TEXTAFTER(_xlfn.TEXTSPLIT(C16,CHAR(10)),"-",-1),"km","")))</f>
        <v>274</v>
      </c>
      <c r="E16" s="3">
        <f>172+60+43</f>
        <v>275</v>
      </c>
      <c r="F16" s="4">
        <f t="shared" si="0"/>
        <v>3.94495412844037</v>
      </c>
      <c r="G16" s="4">
        <f t="shared" si="4"/>
        <v>4.3</v>
      </c>
      <c r="H16" s="4">
        <f t="shared" si="1"/>
        <v>1080.91743119266</v>
      </c>
      <c r="I16" s="4">
        <f t="shared" si="2"/>
        <v>1178.2</v>
      </c>
      <c r="J16" s="4">
        <f t="shared" si="5"/>
        <v>3.5</v>
      </c>
      <c r="K16" s="4">
        <f t="shared" si="3"/>
        <v>959</v>
      </c>
      <c r="L16" s="3"/>
      <c r="M16" s="3"/>
      <c r="N16" s="3"/>
    </row>
    <row r="17" ht="71.25" spans="1:14">
      <c r="A17" s="3">
        <v>19</v>
      </c>
      <c r="B17" s="5">
        <v>45905</v>
      </c>
      <c r="C17" s="3" t="s">
        <v>27</v>
      </c>
      <c r="D17" s="3" cm="1">
        <f t="array" ref="D17">SUM(VALUE(SUBSTITUTE(_xlfn.TEXTAFTER(_xlfn.TEXTSPLIT(C17,CHAR(10)),"-",-1),"km","")))</f>
        <v>337</v>
      </c>
      <c r="E17" s="3">
        <f>18+100+10+7</f>
        <v>135</v>
      </c>
      <c r="F17" s="4">
        <f t="shared" si="0"/>
        <v>3.76146788990826</v>
      </c>
      <c r="G17" s="4">
        <f t="shared" si="4"/>
        <v>4.1</v>
      </c>
      <c r="H17" s="4">
        <f t="shared" si="1"/>
        <v>1267.61467889908</v>
      </c>
      <c r="I17" s="4">
        <f t="shared" si="2"/>
        <v>1381.7</v>
      </c>
      <c r="J17" s="4">
        <f t="shared" si="5"/>
        <v>3.2</v>
      </c>
      <c r="K17" s="4">
        <f t="shared" si="3"/>
        <v>1078.4</v>
      </c>
      <c r="L17" s="3"/>
      <c r="M17" s="3"/>
      <c r="N17" s="3"/>
    </row>
    <row r="18" ht="85.5" spans="1:14">
      <c r="A18" s="3">
        <v>20</v>
      </c>
      <c r="B18" s="6"/>
      <c r="C18" s="3" t="s">
        <v>28</v>
      </c>
      <c r="D18" s="3" cm="1">
        <f t="array" ref="D18">SUM(VALUE(SUBSTITUTE(_xlfn.TEXTAFTER(_xlfn.TEXTSPLIT(C18,CHAR(10)),"-",-1),"km","")))</f>
        <v>233</v>
      </c>
      <c r="E18" s="3">
        <f>98+10+62+17</f>
        <v>187</v>
      </c>
      <c r="F18" s="4">
        <f t="shared" si="0"/>
        <v>3.94495412844037</v>
      </c>
      <c r="G18" s="4">
        <f t="shared" si="4"/>
        <v>4.3</v>
      </c>
      <c r="H18" s="4">
        <f t="shared" si="1"/>
        <v>919.174311926605</v>
      </c>
      <c r="I18" s="4">
        <f t="shared" si="2"/>
        <v>1001.9</v>
      </c>
      <c r="J18" s="4">
        <f t="shared" si="5"/>
        <v>3.5</v>
      </c>
      <c r="K18" s="4">
        <f t="shared" si="3"/>
        <v>815.5</v>
      </c>
      <c r="L18" s="3"/>
      <c r="M18" s="3"/>
      <c r="N18" s="3"/>
    </row>
    <row r="19" ht="128.25" spans="1:14">
      <c r="A19" s="3">
        <v>21</v>
      </c>
      <c r="B19" s="6"/>
      <c r="C19" s="3" t="s">
        <v>29</v>
      </c>
      <c r="D19" s="3" cm="1">
        <f t="array" ref="D19">SUM(VALUE(SUBSTITUTE(_xlfn.TEXTAFTER(_xlfn.TEXTSPLIT(C19,CHAR(10)),"-",-1),"km","")))</f>
        <v>243.7</v>
      </c>
      <c r="E19" s="3">
        <f>84+3+89</f>
        <v>176</v>
      </c>
      <c r="F19" s="4">
        <f t="shared" si="0"/>
        <v>3.94495412844037</v>
      </c>
      <c r="G19" s="4">
        <f t="shared" si="4"/>
        <v>4.3</v>
      </c>
      <c r="H19" s="4">
        <f t="shared" si="1"/>
        <v>961.385321100917</v>
      </c>
      <c r="I19" s="4">
        <f t="shared" si="2"/>
        <v>1047.91</v>
      </c>
      <c r="J19" s="4">
        <f t="shared" si="5"/>
        <v>3.5</v>
      </c>
      <c r="K19" s="4">
        <f t="shared" si="3"/>
        <v>852.95</v>
      </c>
      <c r="L19" s="3"/>
      <c r="M19" s="3"/>
      <c r="N19" s="3"/>
    </row>
    <row r="20" ht="99.75" spans="1:14">
      <c r="A20" s="3">
        <v>25</v>
      </c>
      <c r="B20" s="8">
        <v>45906</v>
      </c>
      <c r="C20" s="3" t="s">
        <v>30</v>
      </c>
      <c r="D20" s="3" cm="1">
        <f t="array" ref="D20">SUM(VALUE(SUBSTITUTE(_xlfn.TEXTAFTER(_xlfn.TEXTSPLIT(C20,CHAR(10)),"-",-1),"km","")))</f>
        <v>767</v>
      </c>
      <c r="E20" s="3">
        <f>98+116+34+42+50</f>
        <v>340</v>
      </c>
      <c r="F20" s="4">
        <f t="shared" si="0"/>
        <v>3.76146788990826</v>
      </c>
      <c r="G20" s="4">
        <f t="shared" si="4"/>
        <v>4.1</v>
      </c>
      <c r="H20" s="4">
        <f t="shared" si="1"/>
        <v>2885.04587155963</v>
      </c>
      <c r="I20" s="4">
        <f t="shared" si="2"/>
        <v>3144.7</v>
      </c>
      <c r="J20" s="4">
        <f t="shared" si="5"/>
        <v>3.2</v>
      </c>
      <c r="K20" s="4">
        <f t="shared" si="3"/>
        <v>2454.4</v>
      </c>
      <c r="L20" s="3"/>
      <c r="M20" s="3"/>
      <c r="N20" s="3"/>
    </row>
    <row r="21" ht="99.75" spans="1:14">
      <c r="A21" s="3">
        <v>26</v>
      </c>
      <c r="B21" s="8"/>
      <c r="C21" s="3" t="s">
        <v>31</v>
      </c>
      <c r="D21" s="3" cm="1">
        <f t="array" ref="D21">SUM(VALUE(SUBSTITUTE(_xlfn.TEXTAFTER(_xlfn.TEXTSPLIT(C21,CHAR(10)),"-",-1),"km","")))</f>
        <v>417</v>
      </c>
      <c r="E21" s="3">
        <f>120+52+84+43</f>
        <v>299</v>
      </c>
      <c r="F21" s="4">
        <f t="shared" si="0"/>
        <v>3.76146788990826</v>
      </c>
      <c r="G21" s="4">
        <f t="shared" si="4"/>
        <v>4.1</v>
      </c>
      <c r="H21" s="4">
        <f t="shared" si="1"/>
        <v>1568.53211009174</v>
      </c>
      <c r="I21" s="4">
        <f t="shared" si="2"/>
        <v>1709.7</v>
      </c>
      <c r="J21" s="4">
        <f t="shared" si="5"/>
        <v>3.2</v>
      </c>
      <c r="K21" s="4">
        <f t="shared" si="3"/>
        <v>1334.4</v>
      </c>
      <c r="L21" s="3"/>
      <c r="M21" s="3"/>
      <c r="N21" s="3"/>
    </row>
    <row r="22" ht="57" spans="1:14">
      <c r="A22" s="3">
        <v>27</v>
      </c>
      <c r="B22" s="8"/>
      <c r="C22" s="3" t="s">
        <v>32</v>
      </c>
      <c r="D22" s="3" cm="1">
        <f t="array" ref="D22">SUM(VALUE(SUBSTITUTE(_xlfn.TEXTAFTER(_xlfn.TEXTSPLIT(C22,CHAR(10)),"-",-1),"km","")))</f>
        <v>347</v>
      </c>
      <c r="E22" s="3">
        <f>120+52+84+43</f>
        <v>299</v>
      </c>
      <c r="F22" s="4">
        <f t="shared" si="0"/>
        <v>3.76146788990826</v>
      </c>
      <c r="G22" s="4">
        <f t="shared" si="4"/>
        <v>4.1</v>
      </c>
      <c r="H22" s="4">
        <f t="shared" si="1"/>
        <v>1305.22935779816</v>
      </c>
      <c r="I22" s="4">
        <f t="shared" si="2"/>
        <v>1422.7</v>
      </c>
      <c r="J22" s="4">
        <f t="shared" si="5"/>
        <v>3.2</v>
      </c>
      <c r="K22" s="4">
        <f t="shared" si="3"/>
        <v>1110.4</v>
      </c>
      <c r="L22" s="3"/>
      <c r="M22" s="3"/>
      <c r="N22" s="3"/>
    </row>
    <row r="23" ht="57" spans="1:14">
      <c r="A23" s="3">
        <v>28</v>
      </c>
      <c r="B23" s="8"/>
      <c r="C23" s="3" t="s">
        <v>33</v>
      </c>
      <c r="D23" s="3" cm="1">
        <f t="array" ref="D23">SUM(VALUE(SUBSTITUTE(_xlfn.TEXTAFTER(_xlfn.TEXTSPLIT(C23,CHAR(10)),"-",-1),"km","")))</f>
        <v>535</v>
      </c>
      <c r="E23" s="3">
        <f>120+52+84+43</f>
        <v>299</v>
      </c>
      <c r="F23" s="4">
        <f t="shared" si="0"/>
        <v>3.76146788990826</v>
      </c>
      <c r="G23" s="4">
        <f t="shared" si="4"/>
        <v>4.1</v>
      </c>
      <c r="H23" s="4">
        <f t="shared" si="1"/>
        <v>2012.38532110092</v>
      </c>
      <c r="I23" s="4">
        <f t="shared" si="2"/>
        <v>2193.5</v>
      </c>
      <c r="J23" s="4">
        <f t="shared" si="5"/>
        <v>3.2</v>
      </c>
      <c r="K23" s="4">
        <f t="shared" si="3"/>
        <v>1712</v>
      </c>
      <c r="L23" s="3"/>
      <c r="M23" s="3"/>
      <c r="N23" s="3"/>
    </row>
    <row r="24" ht="85.5" spans="1:14">
      <c r="A24" s="3"/>
      <c r="B24" s="8">
        <v>45907</v>
      </c>
      <c r="C24" s="3" t="s">
        <v>34</v>
      </c>
      <c r="D24" s="3" cm="1">
        <f t="array" ref="D24">SUM(VALUE(SUBSTITUTE(_xlfn.TEXTAFTER(_xlfn.TEXTSPLIT(C24,CHAR(10)),"-",-1),"km","")))</f>
        <v>330</v>
      </c>
      <c r="E24" s="3">
        <f>86+10+12+10+8</f>
        <v>126</v>
      </c>
      <c r="F24" s="4">
        <f t="shared" si="0"/>
        <v>3.76146788990826</v>
      </c>
      <c r="G24" s="4">
        <f t="shared" si="4"/>
        <v>4.1</v>
      </c>
      <c r="H24" s="4">
        <f t="shared" si="1"/>
        <v>1241.28440366972</v>
      </c>
      <c r="I24" s="4">
        <f t="shared" si="2"/>
        <v>1353</v>
      </c>
      <c r="J24" s="4">
        <f t="shared" si="5"/>
        <v>3.2</v>
      </c>
      <c r="K24" s="4">
        <f t="shared" si="3"/>
        <v>1056</v>
      </c>
      <c r="L24" s="3"/>
      <c r="M24" s="3"/>
      <c r="N24" s="3"/>
    </row>
    <row r="25" ht="99.75" spans="1:14">
      <c r="A25" s="3"/>
      <c r="B25" s="8"/>
      <c r="C25" s="3" t="s">
        <v>35</v>
      </c>
      <c r="D25" s="3" cm="1">
        <f t="array" ref="D25">SUM(VALUE(SUBSTITUTE(_xlfn.TEXTAFTER(_xlfn.TEXTSPLIT(C25,CHAR(10)),"-",-1),"km","")))</f>
        <v>263.8</v>
      </c>
      <c r="E25" s="3">
        <f>86+10+12+10+8</f>
        <v>126</v>
      </c>
      <c r="F25" s="4">
        <f t="shared" si="0"/>
        <v>3.94495412844037</v>
      </c>
      <c r="G25" s="4">
        <f t="shared" si="4"/>
        <v>4.3</v>
      </c>
      <c r="H25" s="4">
        <f t="shared" si="1"/>
        <v>1040.67889908257</v>
      </c>
      <c r="I25" s="4">
        <f t="shared" si="2"/>
        <v>1134.34</v>
      </c>
      <c r="J25" s="4">
        <f t="shared" si="5"/>
        <v>3.5</v>
      </c>
      <c r="K25" s="4">
        <f t="shared" si="3"/>
        <v>923.3</v>
      </c>
      <c r="L25" s="3"/>
      <c r="M25" s="3"/>
      <c r="N25" s="3"/>
    </row>
    <row r="26" ht="99.75" spans="1:14">
      <c r="A26" s="3">
        <v>34</v>
      </c>
      <c r="B26" s="8">
        <v>45908</v>
      </c>
      <c r="C26" s="3" t="s">
        <v>36</v>
      </c>
      <c r="D26" s="3" cm="1">
        <f t="array" ref="D26">SUM(VALUE(SUBSTITUTE(_xlfn.TEXTAFTER(_xlfn.TEXTSPLIT(C26,CHAR(10)),"-",-1),"km","")))</f>
        <v>297.8</v>
      </c>
      <c r="E26" s="3">
        <f>167+33+106</f>
        <v>306</v>
      </c>
      <c r="F26" s="4">
        <f t="shared" si="0"/>
        <v>3.94495412844037</v>
      </c>
      <c r="G26" s="4">
        <f t="shared" si="4"/>
        <v>4.3</v>
      </c>
      <c r="H26" s="4">
        <f t="shared" si="1"/>
        <v>1174.80733944954</v>
      </c>
      <c r="I26" s="4">
        <f t="shared" si="2"/>
        <v>1280.54</v>
      </c>
      <c r="J26" s="4">
        <f t="shared" si="5"/>
        <v>3.5</v>
      </c>
      <c r="K26" s="4">
        <f t="shared" si="3"/>
        <v>1042.3</v>
      </c>
      <c r="L26" s="3"/>
      <c r="M26" s="3"/>
      <c r="N26" s="3"/>
    </row>
    <row r="27" ht="85.5" spans="1:14">
      <c r="A27" s="3">
        <v>35</v>
      </c>
      <c r="B27" s="8"/>
      <c r="C27" s="3" t="s">
        <v>37</v>
      </c>
      <c r="D27" s="3" cm="1">
        <f t="array" ref="D27">SUM(VALUE(SUBSTITUTE(_xlfn.TEXTAFTER(_xlfn.TEXTSPLIT(C27,CHAR(10)),"-",-1),"km","")))</f>
        <v>251</v>
      </c>
      <c r="E27" s="3">
        <f>127+59+16+9.5</f>
        <v>211.5</v>
      </c>
      <c r="F27" s="4">
        <f t="shared" si="0"/>
        <v>3.94495412844037</v>
      </c>
      <c r="G27" s="4">
        <f t="shared" si="4"/>
        <v>4.3</v>
      </c>
      <c r="H27" s="4">
        <f t="shared" si="1"/>
        <v>990.183486238532</v>
      </c>
      <c r="I27" s="4">
        <f t="shared" si="2"/>
        <v>1079.3</v>
      </c>
      <c r="J27" s="4">
        <f t="shared" si="5"/>
        <v>3.5</v>
      </c>
      <c r="K27" s="4">
        <f t="shared" si="3"/>
        <v>878.5</v>
      </c>
      <c r="L27" s="3"/>
      <c r="M27" s="4"/>
      <c r="N27" s="3"/>
    </row>
    <row r="28" ht="99.75" spans="1:14">
      <c r="A28" s="3">
        <v>36</v>
      </c>
      <c r="B28" s="8"/>
      <c r="C28" s="3" t="s">
        <v>38</v>
      </c>
      <c r="D28" s="3" cm="1">
        <f t="array" ref="D28">SUM(VALUE(SUBSTITUTE(_xlfn.TEXTAFTER(_xlfn.TEXTSPLIT(C28,CHAR(10)),"-",-1),"km","")))</f>
        <v>285.4</v>
      </c>
      <c r="E28" s="3">
        <f t="shared" ref="E28:E34" si="6">98+116+34+43</f>
        <v>291</v>
      </c>
      <c r="F28" s="4">
        <f t="shared" si="0"/>
        <v>3.94495412844037</v>
      </c>
      <c r="G28" s="4">
        <f t="shared" si="4"/>
        <v>4.3</v>
      </c>
      <c r="H28" s="4">
        <f t="shared" si="1"/>
        <v>1125.88990825688</v>
      </c>
      <c r="I28" s="4">
        <f t="shared" si="2"/>
        <v>1227.22</v>
      </c>
      <c r="J28" s="4">
        <f t="shared" si="5"/>
        <v>3.5</v>
      </c>
      <c r="K28" s="4">
        <f t="shared" si="3"/>
        <v>998.9</v>
      </c>
      <c r="L28" s="3"/>
      <c r="M28" s="3"/>
      <c r="N28" s="4"/>
    </row>
    <row r="29" ht="57" spans="1:14">
      <c r="A29" s="3"/>
      <c r="B29" s="8"/>
      <c r="C29" s="3" t="s">
        <v>39</v>
      </c>
      <c r="D29" s="3" cm="1">
        <f t="array" ref="D29">SUM(VALUE(SUBSTITUTE(_xlfn.TEXTAFTER(_xlfn.TEXTSPLIT(C29,CHAR(10)),"-",-1),"km","")))</f>
        <v>180</v>
      </c>
      <c r="E29" s="3">
        <f t="shared" si="6"/>
        <v>291</v>
      </c>
      <c r="F29" s="4">
        <f t="shared" si="0"/>
        <v>4.12844036697248</v>
      </c>
      <c r="G29" s="4">
        <f t="shared" si="4"/>
        <v>4.5</v>
      </c>
      <c r="H29" s="4">
        <f t="shared" si="1"/>
        <v>743.119266055046</v>
      </c>
      <c r="I29" s="4">
        <f t="shared" si="2"/>
        <v>810</v>
      </c>
      <c r="J29" s="4">
        <f t="shared" si="5"/>
        <v>3.5</v>
      </c>
      <c r="K29" s="4">
        <f t="shared" si="3"/>
        <v>630</v>
      </c>
      <c r="L29" s="3"/>
      <c r="M29" s="3"/>
      <c r="N29" s="3"/>
    </row>
    <row r="30" ht="57" spans="1:14">
      <c r="A30" s="3">
        <v>38</v>
      </c>
      <c r="B30" s="5">
        <v>45909</v>
      </c>
      <c r="C30" s="3" t="s">
        <v>40</v>
      </c>
      <c r="D30" s="3" cm="1">
        <f t="array" ref="D30">SUM(VALUE(SUBSTITUTE(_xlfn.TEXTAFTER(_xlfn.TEXTSPLIT(C30,CHAR(10)),"-",-1),"km","")))</f>
        <v>273</v>
      </c>
      <c r="E30" s="3">
        <f t="shared" si="6"/>
        <v>291</v>
      </c>
      <c r="F30" s="4">
        <f t="shared" si="0"/>
        <v>3.94495412844037</v>
      </c>
      <c r="G30" s="4">
        <f t="shared" si="4"/>
        <v>4.3</v>
      </c>
      <c r="H30" s="4">
        <f t="shared" si="1"/>
        <v>1076.97247706422</v>
      </c>
      <c r="I30" s="4">
        <f t="shared" si="2"/>
        <v>1173.9</v>
      </c>
      <c r="J30" s="4">
        <f t="shared" si="5"/>
        <v>3.5</v>
      </c>
      <c r="K30" s="4">
        <f t="shared" si="3"/>
        <v>955.5</v>
      </c>
      <c r="L30" s="3"/>
      <c r="M30" s="3"/>
      <c r="N30" s="3"/>
    </row>
    <row r="31" ht="42.75" spans="1:14">
      <c r="A31" s="3"/>
      <c r="B31" s="6"/>
      <c r="C31" s="3" t="s">
        <v>41</v>
      </c>
      <c r="D31" s="3" cm="1">
        <f t="array" ref="D31">SUM(VALUE(SUBSTITUTE(_xlfn.TEXTAFTER(_xlfn.TEXTSPLIT(C31,CHAR(10)),"-",-1),"km","")))</f>
        <v>319</v>
      </c>
      <c r="E31" s="3">
        <f t="shared" si="6"/>
        <v>291</v>
      </c>
      <c r="F31" s="4">
        <f t="shared" si="0"/>
        <v>3.76146788990826</v>
      </c>
      <c r="G31" s="4">
        <f t="shared" si="4"/>
        <v>4.1</v>
      </c>
      <c r="H31" s="4">
        <f t="shared" si="1"/>
        <v>1199.90825688073</v>
      </c>
      <c r="I31" s="4">
        <f t="shared" si="2"/>
        <v>1307.9</v>
      </c>
      <c r="J31" s="4">
        <f t="shared" si="5"/>
        <v>3.2</v>
      </c>
      <c r="K31" s="4">
        <f t="shared" si="3"/>
        <v>1020.8</v>
      </c>
      <c r="L31" s="3"/>
      <c r="M31" s="3"/>
      <c r="N31" s="3"/>
    </row>
    <row r="32" ht="57" spans="1:14">
      <c r="A32" s="3"/>
      <c r="B32" s="6"/>
      <c r="C32" s="3" t="s">
        <v>42</v>
      </c>
      <c r="D32" s="3" cm="1">
        <f t="array" ref="D32">SUM(VALUE(SUBSTITUTE(_xlfn.TEXTAFTER(_xlfn.TEXTSPLIT(C32,CHAR(10)),"-",-1),"km","")))</f>
        <v>338</v>
      </c>
      <c r="E32" s="3">
        <f t="shared" si="6"/>
        <v>291</v>
      </c>
      <c r="F32" s="4">
        <f t="shared" si="0"/>
        <v>3.76146788990826</v>
      </c>
      <c r="G32" s="4">
        <f t="shared" si="4"/>
        <v>4.1</v>
      </c>
      <c r="H32" s="4">
        <f t="shared" si="1"/>
        <v>1271.37614678899</v>
      </c>
      <c r="I32" s="4">
        <f t="shared" si="2"/>
        <v>1385.8</v>
      </c>
      <c r="J32" s="4">
        <f t="shared" si="5"/>
        <v>3.2</v>
      </c>
      <c r="K32" s="4">
        <f t="shared" si="3"/>
        <v>1081.6</v>
      </c>
      <c r="L32" s="3"/>
      <c r="M32" s="3"/>
      <c r="N32" s="3"/>
    </row>
    <row r="33" ht="57" spans="1:14">
      <c r="A33" s="3"/>
      <c r="B33" s="6"/>
      <c r="C33" s="3" t="s">
        <v>43</v>
      </c>
      <c r="D33" s="3" cm="1">
        <f t="array" ref="D33">SUM(VALUE(SUBSTITUTE(_xlfn.TEXTAFTER(_xlfn.TEXTSPLIT(C33,CHAR(10)),"-",-1),"km","")))</f>
        <v>241.1</v>
      </c>
      <c r="E33" s="3">
        <f t="shared" si="6"/>
        <v>291</v>
      </c>
      <c r="F33" s="4">
        <f t="shared" si="0"/>
        <v>3.94495412844037</v>
      </c>
      <c r="G33" s="4">
        <f t="shared" si="4"/>
        <v>4.3</v>
      </c>
      <c r="H33" s="4">
        <f t="shared" si="1"/>
        <v>951.128440366972</v>
      </c>
      <c r="I33" s="4">
        <f t="shared" si="2"/>
        <v>1036.73</v>
      </c>
      <c r="J33" s="4">
        <f t="shared" si="5"/>
        <v>3.5</v>
      </c>
      <c r="K33" s="4">
        <f t="shared" si="3"/>
        <v>843.85</v>
      </c>
      <c r="L33" s="3"/>
      <c r="M33" s="3"/>
      <c r="N33" s="3"/>
    </row>
    <row r="34" ht="71.25" spans="1:14">
      <c r="A34" s="3"/>
      <c r="B34" s="6"/>
      <c r="C34" s="3" t="s">
        <v>44</v>
      </c>
      <c r="D34" s="3" cm="1">
        <f t="array" ref="D34">SUM(VALUE(SUBSTITUTE(_xlfn.TEXTAFTER(_xlfn.TEXTSPLIT(C34,CHAR(10)),"-",-1),"km","")))</f>
        <v>610</v>
      </c>
      <c r="E34" s="3">
        <f t="shared" si="6"/>
        <v>291</v>
      </c>
      <c r="F34" s="4">
        <f t="shared" si="0"/>
        <v>3.76146788990826</v>
      </c>
      <c r="G34" s="4">
        <f t="shared" si="4"/>
        <v>4.1</v>
      </c>
      <c r="H34" s="4">
        <f t="shared" si="1"/>
        <v>2294.49541284404</v>
      </c>
      <c r="I34" s="4">
        <f t="shared" si="2"/>
        <v>2501</v>
      </c>
      <c r="J34" s="4">
        <f t="shared" si="5"/>
        <v>3.2</v>
      </c>
      <c r="K34" s="4">
        <f t="shared" si="3"/>
        <v>1952</v>
      </c>
      <c r="L34" s="3"/>
      <c r="M34" s="3"/>
      <c r="N34" s="3"/>
    </row>
    <row r="35" ht="85.5" spans="1:14">
      <c r="A35" s="3">
        <v>41</v>
      </c>
      <c r="B35" s="8">
        <v>45910</v>
      </c>
      <c r="C35" s="3" t="s">
        <v>45</v>
      </c>
      <c r="D35" s="3" cm="1">
        <f t="array" ref="D35">SUM(VALUE(SUBSTITUTE(_xlfn.TEXTAFTER(_xlfn.TEXTSPLIT(C35,CHAR(10)),"-",-1),"km","")))</f>
        <v>190.6</v>
      </c>
      <c r="E35" s="3">
        <f>98+48+52</f>
        <v>198</v>
      </c>
      <c r="F35" s="4">
        <f t="shared" si="0"/>
        <v>4.12844036697248</v>
      </c>
      <c r="G35" s="4">
        <f t="shared" ref="G35:G66" si="7">IF(D35&gt;=301,4.1,IF(D35&gt;=201,4.3,IF(D35&gt;=101,4.5,"")))</f>
        <v>4.5</v>
      </c>
      <c r="H35" s="4">
        <f t="shared" si="1"/>
        <v>786.880733944954</v>
      </c>
      <c r="I35" s="4">
        <f t="shared" si="2"/>
        <v>857.7</v>
      </c>
      <c r="J35" s="4">
        <f t="shared" si="5"/>
        <v>3.5</v>
      </c>
      <c r="K35" s="4">
        <f t="shared" si="3"/>
        <v>667.1</v>
      </c>
      <c r="L35" s="3"/>
      <c r="M35" s="3"/>
      <c r="N35" s="3"/>
    </row>
    <row r="36" ht="71.25" spans="1:14">
      <c r="A36" s="3">
        <v>42</v>
      </c>
      <c r="B36" s="8"/>
      <c r="C36" s="3" t="s">
        <v>46</v>
      </c>
      <c r="D36" s="3" cm="1">
        <f t="array" ref="D36">SUM(VALUE(SUBSTITUTE(_xlfn.TEXTAFTER(_xlfn.TEXTSPLIT(C36,CHAR(10)),"-",-1),"km","")))</f>
        <v>146</v>
      </c>
      <c r="E36" s="3">
        <f>98+133+16</f>
        <v>247</v>
      </c>
      <c r="F36" s="4">
        <f t="shared" si="0"/>
        <v>4.12844036697248</v>
      </c>
      <c r="G36" s="4">
        <f t="shared" si="7"/>
        <v>4.5</v>
      </c>
      <c r="H36" s="4">
        <f t="shared" si="1"/>
        <v>602.752293577982</v>
      </c>
      <c r="I36" s="4">
        <f t="shared" si="2"/>
        <v>657</v>
      </c>
      <c r="J36" s="4">
        <f t="shared" ref="J36:J67" si="8">IF(D36&gt;=301,3.2,IF(D36&gt;=201,3.5,IF(D36&gt;=101,3.5,"")))</f>
        <v>3.5</v>
      </c>
      <c r="K36" s="4">
        <f t="shared" si="3"/>
        <v>511</v>
      </c>
      <c r="L36" s="3"/>
      <c r="M36" s="3"/>
      <c r="N36" s="3"/>
    </row>
    <row r="37" ht="71.25" spans="1:14">
      <c r="A37" s="3">
        <v>43</v>
      </c>
      <c r="B37" s="8"/>
      <c r="C37" s="3" t="s">
        <v>47</v>
      </c>
      <c r="D37" s="3" cm="1">
        <f t="array" ref="D37">SUM(VALUE(SUBSTITUTE(_xlfn.TEXTAFTER(_xlfn.TEXTSPLIT(C37,CHAR(10)),"-",-1),"km","")))</f>
        <v>294.8</v>
      </c>
      <c r="E37" s="3">
        <f>167+43+59+47</f>
        <v>316</v>
      </c>
      <c r="F37" s="4">
        <f t="shared" si="0"/>
        <v>3.94495412844037</v>
      </c>
      <c r="G37" s="4">
        <f t="shared" si="7"/>
        <v>4.3</v>
      </c>
      <c r="H37" s="4">
        <f t="shared" si="1"/>
        <v>1162.97247706422</v>
      </c>
      <c r="I37" s="4">
        <f t="shared" si="2"/>
        <v>1267.64</v>
      </c>
      <c r="J37" s="4">
        <f t="shared" si="8"/>
        <v>3.5</v>
      </c>
      <c r="K37" s="4">
        <f t="shared" si="3"/>
        <v>1031.8</v>
      </c>
      <c r="L37" s="3"/>
      <c r="M37" s="3"/>
      <c r="N37" s="3"/>
    </row>
    <row r="38" ht="99.75" spans="1:14">
      <c r="A38" s="3">
        <v>47</v>
      </c>
      <c r="B38" s="5">
        <v>45911</v>
      </c>
      <c r="C38" s="3" t="s">
        <v>48</v>
      </c>
      <c r="D38" s="3" cm="1">
        <f t="array" ref="D38">SUM(VALUE(SUBSTITUTE(_xlfn.TEXTAFTER(_xlfn.TEXTSPLIT(C38,CHAR(10)),"-",-1),"km","")))</f>
        <v>281.4</v>
      </c>
      <c r="E38" s="3">
        <f>171+34+43</f>
        <v>248</v>
      </c>
      <c r="F38" s="4">
        <f t="shared" si="0"/>
        <v>3.94495412844037</v>
      </c>
      <c r="G38" s="4">
        <f t="shared" si="7"/>
        <v>4.3</v>
      </c>
      <c r="H38" s="4">
        <f t="shared" si="1"/>
        <v>1110.11009174312</v>
      </c>
      <c r="I38" s="4">
        <f t="shared" si="2"/>
        <v>1210.02</v>
      </c>
      <c r="J38" s="4">
        <f t="shared" si="8"/>
        <v>3.5</v>
      </c>
      <c r="K38" s="4">
        <f t="shared" si="3"/>
        <v>984.9</v>
      </c>
      <c r="L38" s="3"/>
      <c r="M38" s="3"/>
      <c r="N38" s="3"/>
    </row>
    <row r="39" ht="71.25" spans="1:14">
      <c r="A39" s="3"/>
      <c r="B39" s="6"/>
      <c r="C39" s="3" t="s">
        <v>49</v>
      </c>
      <c r="D39" s="3" cm="1">
        <f t="array" ref="D39">SUM(VALUE(SUBSTITUTE(_xlfn.TEXTAFTER(_xlfn.TEXTSPLIT(C39,CHAR(10)),"-",-1),"km","")))</f>
        <v>272.8</v>
      </c>
      <c r="E39" s="3"/>
      <c r="F39" s="4">
        <f t="shared" si="0"/>
        <v>3.94495412844037</v>
      </c>
      <c r="G39" s="4">
        <f t="shared" si="7"/>
        <v>4.3</v>
      </c>
      <c r="H39" s="4">
        <f t="shared" si="1"/>
        <v>1076.18348623853</v>
      </c>
      <c r="I39" s="4">
        <f t="shared" si="2"/>
        <v>1173.04</v>
      </c>
      <c r="J39" s="4">
        <f t="shared" si="8"/>
        <v>3.5</v>
      </c>
      <c r="K39" s="4">
        <f t="shared" si="3"/>
        <v>954.8</v>
      </c>
      <c r="L39" s="3"/>
      <c r="M39" s="3"/>
      <c r="N39" s="3"/>
    </row>
    <row r="40" ht="99.75" spans="1:14">
      <c r="A40" s="3">
        <v>48</v>
      </c>
      <c r="B40" s="6"/>
      <c r="C40" s="3" t="s">
        <v>50</v>
      </c>
      <c r="D40" s="3" cm="1">
        <f t="array" ref="D40">SUM(VALUE(SUBSTITUTE(_xlfn.TEXTAFTER(_xlfn.TEXTSPLIT(C40,CHAR(10)),"-",-1),"km","")))</f>
        <v>444.5</v>
      </c>
      <c r="E40" s="3">
        <f>171+34+43</f>
        <v>248</v>
      </c>
      <c r="F40" s="4">
        <f t="shared" si="0"/>
        <v>3.76146788990826</v>
      </c>
      <c r="G40" s="4">
        <f t="shared" si="7"/>
        <v>4.1</v>
      </c>
      <c r="H40" s="4">
        <f t="shared" si="1"/>
        <v>1671.97247706422</v>
      </c>
      <c r="I40" s="4">
        <f t="shared" si="2"/>
        <v>1822.45</v>
      </c>
      <c r="J40" s="4">
        <f t="shared" si="8"/>
        <v>3.2</v>
      </c>
      <c r="K40" s="4">
        <f t="shared" si="3"/>
        <v>1422.4</v>
      </c>
      <c r="L40" s="3"/>
      <c r="M40" s="3"/>
      <c r="N40" s="3"/>
    </row>
    <row r="41" ht="85.5" spans="1:14">
      <c r="A41" s="3">
        <v>50</v>
      </c>
      <c r="B41" s="6"/>
      <c r="C41" s="3" t="s">
        <v>51</v>
      </c>
      <c r="D41" s="3" cm="1">
        <f t="array" ref="D41">SUM(VALUE(SUBSTITUTE(_xlfn.TEXTAFTER(_xlfn.TEXTSPLIT(C41,CHAR(10)),"-",-1),"km","")))</f>
        <v>627</v>
      </c>
      <c r="E41" s="3">
        <f>86+10+12+10</f>
        <v>118</v>
      </c>
      <c r="F41" s="4">
        <f t="shared" si="0"/>
        <v>3.76146788990826</v>
      </c>
      <c r="G41" s="4">
        <f t="shared" si="7"/>
        <v>4.1</v>
      </c>
      <c r="H41" s="4">
        <f t="shared" si="1"/>
        <v>2358.44036697248</v>
      </c>
      <c r="I41" s="4">
        <f t="shared" si="2"/>
        <v>2570.7</v>
      </c>
      <c r="J41" s="4">
        <f t="shared" si="8"/>
        <v>3.2</v>
      </c>
      <c r="K41" s="4">
        <f t="shared" si="3"/>
        <v>2006.4</v>
      </c>
      <c r="L41" s="3"/>
      <c r="M41" s="3"/>
      <c r="N41" s="3"/>
    </row>
    <row r="42" ht="85.5" spans="1:14">
      <c r="A42" s="3">
        <v>52</v>
      </c>
      <c r="B42" s="5">
        <v>45912</v>
      </c>
      <c r="C42" s="3" t="s">
        <v>52</v>
      </c>
      <c r="D42" s="3" cm="1">
        <f t="array" ref="D42">SUM(VALUE(SUBSTITUTE(_xlfn.TEXTAFTER(_xlfn.TEXTSPLIT(C42,CHAR(10)),"-",-1),"km","")))</f>
        <v>208</v>
      </c>
      <c r="E42" s="3">
        <f>127+59+33+42+50</f>
        <v>311</v>
      </c>
      <c r="F42" s="4">
        <f t="shared" si="0"/>
        <v>3.94495412844037</v>
      </c>
      <c r="G42" s="4">
        <f t="shared" si="7"/>
        <v>4.3</v>
      </c>
      <c r="H42" s="4">
        <f t="shared" si="1"/>
        <v>820.550458715596</v>
      </c>
      <c r="I42" s="4">
        <f t="shared" si="2"/>
        <v>894.4</v>
      </c>
      <c r="J42" s="4">
        <f t="shared" si="8"/>
        <v>3.5</v>
      </c>
      <c r="K42" s="4">
        <f t="shared" si="3"/>
        <v>728</v>
      </c>
      <c r="L42" s="3"/>
      <c r="M42" s="3"/>
      <c r="N42" s="3"/>
    </row>
    <row r="43" ht="85.5" spans="1:14">
      <c r="A43" s="3">
        <v>53</v>
      </c>
      <c r="B43" s="6"/>
      <c r="C43" s="3" t="s">
        <v>53</v>
      </c>
      <c r="D43" s="3" cm="1">
        <f t="array" ref="D43">SUM(VALUE(SUBSTITUTE(_xlfn.TEXTAFTER(_xlfn.TEXTSPLIT(C43,CHAR(10)),"-",-1),"km","")))</f>
        <v>290</v>
      </c>
      <c r="E43" s="3">
        <f>98+136+9.5+59+47</f>
        <v>349.5</v>
      </c>
      <c r="F43" s="4">
        <f t="shared" si="0"/>
        <v>3.94495412844037</v>
      </c>
      <c r="G43" s="4">
        <f t="shared" si="7"/>
        <v>4.3</v>
      </c>
      <c r="H43" s="4">
        <f t="shared" si="1"/>
        <v>1144.03669724771</v>
      </c>
      <c r="I43" s="4">
        <f t="shared" si="2"/>
        <v>1247</v>
      </c>
      <c r="J43" s="4">
        <f t="shared" si="8"/>
        <v>3.5</v>
      </c>
      <c r="K43" s="4">
        <f t="shared" si="3"/>
        <v>1015</v>
      </c>
      <c r="L43" s="3"/>
      <c r="M43" s="3"/>
      <c r="N43" s="3"/>
    </row>
    <row r="44" customFormat="1" ht="85.5" spans="1:16">
      <c r="A44" s="3"/>
      <c r="B44" s="6"/>
      <c r="C44" s="3" t="s">
        <v>54</v>
      </c>
      <c r="D44" s="3" cm="1">
        <f t="array" ref="D44">SUM(VALUE(SUBSTITUTE(_xlfn.TEXTAFTER(_xlfn.TEXTSPLIT(C44,CHAR(10)),"-",-1),"km","")))</f>
        <v>222.5</v>
      </c>
      <c r="E44" s="3">
        <f>98+136+9.5+59+47</f>
        <v>349.5</v>
      </c>
      <c r="F44" s="4">
        <f t="shared" si="0"/>
        <v>3.94495412844037</v>
      </c>
      <c r="G44" s="4">
        <f t="shared" si="7"/>
        <v>4.3</v>
      </c>
      <c r="H44" s="4">
        <f t="shared" si="1"/>
        <v>877.752293577982</v>
      </c>
      <c r="I44" s="4">
        <f t="shared" si="2"/>
        <v>956.75</v>
      </c>
      <c r="J44" s="4">
        <f t="shared" si="8"/>
        <v>3.5</v>
      </c>
      <c r="K44" s="4">
        <f t="shared" si="3"/>
        <v>778.75</v>
      </c>
      <c r="L44" s="3"/>
      <c r="M44" s="3"/>
      <c r="N44" s="3"/>
      <c r="P44" s="1"/>
    </row>
    <row r="45" ht="99.75" spans="1:14">
      <c r="A45" s="3">
        <v>56</v>
      </c>
      <c r="B45" s="5">
        <v>45913</v>
      </c>
      <c r="C45" s="3" t="s">
        <v>55</v>
      </c>
      <c r="D45" s="3" cm="1">
        <f t="array" ref="D45">SUM(VALUE(SUBSTITUTE(_xlfn.TEXTAFTER(_xlfn.TEXTSPLIT(C45,CHAR(10)),"-",-1),"km","")))</f>
        <v>709</v>
      </c>
      <c r="E45" s="3">
        <f>35+67+10+12+10+8</f>
        <v>142</v>
      </c>
      <c r="F45" s="4">
        <f t="shared" si="0"/>
        <v>3.76146788990826</v>
      </c>
      <c r="G45" s="4">
        <f t="shared" si="7"/>
        <v>4.1</v>
      </c>
      <c r="H45" s="4">
        <f t="shared" si="1"/>
        <v>2666.88073394495</v>
      </c>
      <c r="I45" s="4">
        <f t="shared" si="2"/>
        <v>2906.9</v>
      </c>
      <c r="J45" s="4">
        <f t="shared" si="8"/>
        <v>3.2</v>
      </c>
      <c r="K45" s="4">
        <f t="shared" si="3"/>
        <v>2268.8</v>
      </c>
      <c r="L45" s="3"/>
      <c r="M45" s="3"/>
      <c r="N45" s="3"/>
    </row>
    <row r="46" ht="85.5" spans="1:14">
      <c r="A46" s="3"/>
      <c r="B46" s="6"/>
      <c r="C46" s="3" t="s">
        <v>56</v>
      </c>
      <c r="D46" s="3" cm="1">
        <f t="array" ref="D46">SUM(VALUE(SUBSTITUTE(_xlfn.TEXTAFTER(_xlfn.TEXTSPLIT(C46,CHAR(10)),"-",-1),"km","")))</f>
        <v>423</v>
      </c>
      <c r="E46" s="3">
        <f>35+67+10+12+10+8</f>
        <v>142</v>
      </c>
      <c r="F46" s="4">
        <f t="shared" si="0"/>
        <v>3.76146788990826</v>
      </c>
      <c r="G46" s="4">
        <f t="shared" si="7"/>
        <v>4.1</v>
      </c>
      <c r="H46" s="4">
        <f t="shared" si="1"/>
        <v>1591.10091743119</v>
      </c>
      <c r="I46" s="4">
        <f t="shared" si="2"/>
        <v>1734.3</v>
      </c>
      <c r="J46" s="4">
        <f t="shared" si="8"/>
        <v>3.2</v>
      </c>
      <c r="K46" s="4">
        <f t="shared" si="3"/>
        <v>1353.6</v>
      </c>
      <c r="L46" s="3"/>
      <c r="M46" s="3"/>
      <c r="N46" s="3"/>
    </row>
    <row r="47" ht="42.75" spans="1:14">
      <c r="A47" s="3">
        <v>57</v>
      </c>
      <c r="B47" s="6"/>
      <c r="C47" s="3" t="s">
        <v>57</v>
      </c>
      <c r="D47" s="3" cm="1">
        <f t="array" ref="D47">SUM(VALUE(SUBSTITUTE(_xlfn.TEXTAFTER(_xlfn.TEXTSPLIT(C47,CHAR(10)),"-",-1),"km","")))</f>
        <v>169</v>
      </c>
      <c r="E47" s="3">
        <f>35+67+10+12+10+8</f>
        <v>142</v>
      </c>
      <c r="F47" s="4">
        <f t="shared" si="0"/>
        <v>4.12844036697248</v>
      </c>
      <c r="G47" s="4">
        <f t="shared" si="7"/>
        <v>4.5</v>
      </c>
      <c r="H47" s="4">
        <f t="shared" si="1"/>
        <v>697.706422018349</v>
      </c>
      <c r="I47" s="4">
        <f t="shared" si="2"/>
        <v>760.5</v>
      </c>
      <c r="J47" s="4">
        <f t="shared" si="8"/>
        <v>3.5</v>
      </c>
      <c r="K47" s="4">
        <f t="shared" si="3"/>
        <v>591.5</v>
      </c>
      <c r="L47" s="3"/>
      <c r="M47" s="3"/>
      <c r="N47" s="3"/>
    </row>
    <row r="48" ht="85.5" spans="1:14">
      <c r="A48" s="3"/>
      <c r="B48" s="6"/>
      <c r="C48" s="3" t="s">
        <v>58</v>
      </c>
      <c r="D48" s="3" cm="1">
        <f t="array" ref="D48">SUM(VALUE(SUBSTITUTE(_xlfn.TEXTAFTER(_xlfn.TEXTSPLIT(C48,CHAR(10)),"-",-1),"km","")))</f>
        <v>363</v>
      </c>
      <c r="E48" s="3">
        <f>35+67+10+12+10+8</f>
        <v>142</v>
      </c>
      <c r="F48" s="4">
        <f t="shared" si="0"/>
        <v>3.76146788990826</v>
      </c>
      <c r="G48" s="4">
        <f t="shared" si="7"/>
        <v>4.1</v>
      </c>
      <c r="H48" s="4">
        <f t="shared" si="1"/>
        <v>1365.4128440367</v>
      </c>
      <c r="I48" s="4">
        <f t="shared" si="2"/>
        <v>1488.3</v>
      </c>
      <c r="J48" s="4">
        <f t="shared" si="8"/>
        <v>3.2</v>
      </c>
      <c r="K48" s="4">
        <f t="shared" si="3"/>
        <v>1161.6</v>
      </c>
      <c r="L48" s="3"/>
      <c r="M48" s="3"/>
      <c r="N48" s="3"/>
    </row>
    <row r="49" ht="85.5" spans="1:14">
      <c r="A49" s="3"/>
      <c r="B49" s="6"/>
      <c r="C49" s="3" t="s">
        <v>59</v>
      </c>
      <c r="D49" s="3" cm="1">
        <f t="array" ref="D49">SUM(VALUE(SUBSTITUTE(_xlfn.TEXTAFTER(_xlfn.TEXTSPLIT(C49,CHAR(10)),"-",-1),"km","")))</f>
        <v>363.8</v>
      </c>
      <c r="E49" s="3">
        <f>35+67+10+12+10+8</f>
        <v>142</v>
      </c>
      <c r="F49" s="4">
        <f t="shared" si="0"/>
        <v>3.76146788990826</v>
      </c>
      <c r="G49" s="4">
        <f t="shared" si="7"/>
        <v>4.1</v>
      </c>
      <c r="H49" s="4">
        <f t="shared" si="1"/>
        <v>1368.42201834862</v>
      </c>
      <c r="I49" s="4">
        <f t="shared" si="2"/>
        <v>1491.58</v>
      </c>
      <c r="J49" s="4">
        <f t="shared" si="8"/>
        <v>3.2</v>
      </c>
      <c r="K49" s="4">
        <f t="shared" si="3"/>
        <v>1164.16</v>
      </c>
      <c r="L49" s="3"/>
      <c r="M49" s="3"/>
      <c r="N49" s="3"/>
    </row>
    <row r="50" ht="85.5" spans="1:14">
      <c r="A50" s="3">
        <v>59</v>
      </c>
      <c r="B50" s="5">
        <v>45914</v>
      </c>
      <c r="C50" s="3" t="s">
        <v>60</v>
      </c>
      <c r="D50" s="3" cm="1">
        <f t="array" ref="D50">SUM(VALUE(SUBSTITUTE(_xlfn.TEXTAFTER(_xlfn.TEXTSPLIT(C50,CHAR(10)),"-",-1),"km","")))</f>
        <v>234.3</v>
      </c>
      <c r="E50" s="3">
        <f>180+28+33+42+50</f>
        <v>333</v>
      </c>
      <c r="F50" s="4">
        <f t="shared" si="0"/>
        <v>3.94495412844037</v>
      </c>
      <c r="G50" s="4">
        <f t="shared" si="7"/>
        <v>4.3</v>
      </c>
      <c r="H50" s="4">
        <f t="shared" si="1"/>
        <v>924.302752293578</v>
      </c>
      <c r="I50" s="4">
        <f t="shared" si="2"/>
        <v>1007.49</v>
      </c>
      <c r="J50" s="4">
        <f t="shared" si="8"/>
        <v>3.5</v>
      </c>
      <c r="K50" s="4">
        <f t="shared" si="3"/>
        <v>820.05</v>
      </c>
      <c r="L50" s="3"/>
      <c r="M50" s="3"/>
      <c r="N50" s="3"/>
    </row>
    <row r="51" ht="71.25" spans="1:14">
      <c r="A51" s="3">
        <v>60</v>
      </c>
      <c r="B51" s="6"/>
      <c r="C51" s="3" t="s">
        <v>61</v>
      </c>
      <c r="D51" s="3" cm="1">
        <f t="array" ref="D51">SUM(VALUE(SUBSTITUTE(_xlfn.TEXTAFTER(_xlfn.TEXTSPLIT(C51,CHAR(10)),"-",-1),"km","")))</f>
        <v>211.2</v>
      </c>
      <c r="E51" s="3">
        <f>98+48+95+9.5+59+47</f>
        <v>356.5</v>
      </c>
      <c r="F51" s="4">
        <f t="shared" si="0"/>
        <v>3.94495412844037</v>
      </c>
      <c r="G51" s="4">
        <f t="shared" si="7"/>
        <v>4.3</v>
      </c>
      <c r="H51" s="4">
        <f t="shared" si="1"/>
        <v>833.174311926605</v>
      </c>
      <c r="I51" s="4">
        <f t="shared" si="2"/>
        <v>908.16</v>
      </c>
      <c r="J51" s="4">
        <f t="shared" si="8"/>
        <v>3.5</v>
      </c>
      <c r="K51" s="4">
        <f t="shared" si="3"/>
        <v>739.2</v>
      </c>
      <c r="L51" s="3"/>
      <c r="M51" s="3"/>
      <c r="N51" s="3"/>
    </row>
    <row r="52" ht="57" spans="1:14">
      <c r="A52" s="3">
        <v>63</v>
      </c>
      <c r="B52" s="5">
        <v>45915</v>
      </c>
      <c r="C52" s="3" t="s">
        <v>62</v>
      </c>
      <c r="D52" s="3" cm="1">
        <f t="array" ref="D52">SUM(VALUE(SUBSTITUTE(_xlfn.TEXTAFTER(_xlfn.TEXTSPLIT(C52,CHAR(10)),"-",-1),"km","")))</f>
        <v>217</v>
      </c>
      <c r="E52" s="3">
        <f>98+48+95+9.5+59+47</f>
        <v>356.5</v>
      </c>
      <c r="F52" s="4">
        <f t="shared" si="0"/>
        <v>3.94495412844037</v>
      </c>
      <c r="G52" s="4">
        <f t="shared" si="7"/>
        <v>4.3</v>
      </c>
      <c r="H52" s="4">
        <f t="shared" si="1"/>
        <v>856.05504587156</v>
      </c>
      <c r="I52" s="4">
        <f t="shared" si="2"/>
        <v>933.1</v>
      </c>
      <c r="J52" s="4">
        <f t="shared" si="8"/>
        <v>3.5</v>
      </c>
      <c r="K52" s="4">
        <f t="shared" si="3"/>
        <v>759.5</v>
      </c>
      <c r="L52" s="3"/>
      <c r="M52" s="3"/>
      <c r="N52" s="3"/>
    </row>
    <row r="53" ht="42.75" spans="1:14">
      <c r="A53" s="3">
        <v>64</v>
      </c>
      <c r="B53" s="6"/>
      <c r="C53" s="3" t="s">
        <v>63</v>
      </c>
      <c r="D53" s="3" cm="1">
        <f t="array" ref="D53">SUM(VALUE(SUBSTITUTE(_xlfn.TEXTAFTER(_xlfn.TEXTSPLIT(C53,CHAR(10)),"-",-1),"km","")))</f>
        <v>151</v>
      </c>
      <c r="E53" s="3">
        <f>13+83+10+12+10</f>
        <v>128</v>
      </c>
      <c r="F53" s="4">
        <f t="shared" si="0"/>
        <v>4.12844036697248</v>
      </c>
      <c r="G53" s="4">
        <f t="shared" si="7"/>
        <v>4.5</v>
      </c>
      <c r="H53" s="4">
        <f t="shared" si="1"/>
        <v>623.394495412844</v>
      </c>
      <c r="I53" s="4">
        <f t="shared" si="2"/>
        <v>679.5</v>
      </c>
      <c r="J53" s="4">
        <f t="shared" si="8"/>
        <v>3.5</v>
      </c>
      <c r="K53" s="4">
        <f t="shared" si="3"/>
        <v>528.5</v>
      </c>
      <c r="L53" s="3"/>
      <c r="M53" s="3"/>
      <c r="N53" s="3"/>
    </row>
    <row r="54" ht="42.75" spans="1:14">
      <c r="A54" s="3"/>
      <c r="B54" s="6"/>
      <c r="C54" s="3" t="s">
        <v>64</v>
      </c>
      <c r="D54" s="3" cm="1">
        <f t="array" ref="D54">SUM(VALUE(SUBSTITUTE(_xlfn.TEXTAFTER(_xlfn.TEXTSPLIT(C54,CHAR(10)),"-",-1),"km","")))</f>
        <v>145.8</v>
      </c>
      <c r="E54" s="3">
        <f>13+83+10+12+10</f>
        <v>128</v>
      </c>
      <c r="F54" s="4">
        <f t="shared" si="0"/>
        <v>4.12844036697248</v>
      </c>
      <c r="G54" s="4">
        <f t="shared" si="7"/>
        <v>4.5</v>
      </c>
      <c r="H54" s="4">
        <f t="shared" si="1"/>
        <v>601.926605504587</v>
      </c>
      <c r="I54" s="4">
        <f t="shared" si="2"/>
        <v>656.1</v>
      </c>
      <c r="J54" s="4">
        <f t="shared" si="8"/>
        <v>3.5</v>
      </c>
      <c r="K54" s="4">
        <f t="shared" si="3"/>
        <v>510.3</v>
      </c>
      <c r="L54" s="3"/>
      <c r="M54" s="3"/>
      <c r="N54" s="3"/>
    </row>
    <row r="55" ht="28.5" spans="1:14">
      <c r="A55" s="3"/>
      <c r="B55" s="6"/>
      <c r="C55" s="3" t="s">
        <v>65</v>
      </c>
      <c r="D55" s="3" cm="1">
        <f t="array" ref="D55">SUM(VALUE(SUBSTITUTE(_xlfn.TEXTAFTER(_xlfn.TEXTSPLIT(C55,CHAR(10)),"-",-1),"km","")))</f>
        <v>166</v>
      </c>
      <c r="E55" s="3">
        <f>13+83+10+12+10</f>
        <v>128</v>
      </c>
      <c r="F55" s="4">
        <f t="shared" si="0"/>
        <v>4.12844036697248</v>
      </c>
      <c r="G55" s="4">
        <f t="shared" si="7"/>
        <v>4.5</v>
      </c>
      <c r="H55" s="4">
        <f t="shared" si="1"/>
        <v>685.321100917431</v>
      </c>
      <c r="I55" s="4">
        <f t="shared" si="2"/>
        <v>747</v>
      </c>
      <c r="J55" s="4">
        <f t="shared" si="8"/>
        <v>3.5</v>
      </c>
      <c r="K55" s="4">
        <f t="shared" si="3"/>
        <v>581</v>
      </c>
      <c r="L55" s="3"/>
      <c r="M55" s="3"/>
      <c r="N55" s="3"/>
    </row>
    <row r="56" ht="57" spans="1:14">
      <c r="A56" s="3"/>
      <c r="B56" s="6"/>
      <c r="C56" s="3" t="s">
        <v>66</v>
      </c>
      <c r="D56" s="3" cm="1">
        <f t="array" ref="D56">SUM(VALUE(SUBSTITUTE(_xlfn.TEXTAFTER(_xlfn.TEXTSPLIT(C56,CHAR(10)),"-",-1),"km","")))</f>
        <v>224.1</v>
      </c>
      <c r="E56" s="3">
        <f>13+83+10+12+10</f>
        <v>128</v>
      </c>
      <c r="F56" s="4">
        <f t="shared" si="0"/>
        <v>3.94495412844037</v>
      </c>
      <c r="G56" s="4">
        <f t="shared" si="7"/>
        <v>4.3</v>
      </c>
      <c r="H56" s="4">
        <f t="shared" si="1"/>
        <v>884.064220183486</v>
      </c>
      <c r="I56" s="4">
        <f t="shared" si="2"/>
        <v>963.63</v>
      </c>
      <c r="J56" s="4">
        <f t="shared" si="8"/>
        <v>3.5</v>
      </c>
      <c r="K56" s="4">
        <f t="shared" si="3"/>
        <v>784.35</v>
      </c>
      <c r="L56" s="3"/>
      <c r="M56" s="3"/>
      <c r="N56" s="3"/>
    </row>
    <row r="57" ht="57" spans="1:14">
      <c r="A57" s="3"/>
      <c r="B57" s="6"/>
      <c r="C57" s="3" t="s">
        <v>67</v>
      </c>
      <c r="D57" s="3" cm="1">
        <f t="array" ref="D57">SUM(VALUE(SUBSTITUTE(_xlfn.TEXTAFTER(_xlfn.TEXTSPLIT(C57,CHAR(10)),"-",-1),"km","")))</f>
        <v>258</v>
      </c>
      <c r="E57" s="3">
        <f>13+83+10+12+10</f>
        <v>128</v>
      </c>
      <c r="F57" s="4">
        <f t="shared" si="0"/>
        <v>3.94495412844037</v>
      </c>
      <c r="G57" s="4">
        <f t="shared" si="7"/>
        <v>4.3</v>
      </c>
      <c r="H57" s="4">
        <f t="shared" si="1"/>
        <v>1017.79816513761</v>
      </c>
      <c r="I57" s="4">
        <f t="shared" si="2"/>
        <v>1109.4</v>
      </c>
      <c r="J57" s="4">
        <f t="shared" si="8"/>
        <v>3.5</v>
      </c>
      <c r="K57" s="4">
        <f t="shared" si="3"/>
        <v>903</v>
      </c>
      <c r="L57" s="3"/>
      <c r="M57" s="3"/>
      <c r="N57" s="3"/>
    </row>
    <row r="58" ht="112.05" customHeight="1" spans="1:14">
      <c r="A58" s="3">
        <v>67</v>
      </c>
      <c r="B58" s="5">
        <v>45916</v>
      </c>
      <c r="C58" s="3" t="s">
        <v>68</v>
      </c>
      <c r="D58" s="3" cm="1">
        <f t="array" ref="D58">SUM(VALUE(SUBSTITUTE(_xlfn.TEXTAFTER(_xlfn.TEXTSPLIT(C58,CHAR(10)),"-",-1),"km","")))</f>
        <v>603</v>
      </c>
      <c r="E58" s="10">
        <f>171+81+42+50</f>
        <v>344</v>
      </c>
      <c r="F58" s="4">
        <f t="shared" si="0"/>
        <v>3.76146788990826</v>
      </c>
      <c r="G58" s="4">
        <f t="shared" si="7"/>
        <v>4.1</v>
      </c>
      <c r="H58" s="4">
        <f t="shared" si="1"/>
        <v>2268.16513761468</v>
      </c>
      <c r="I58" s="4">
        <f t="shared" si="2"/>
        <v>2472.3</v>
      </c>
      <c r="J58" s="4">
        <f t="shared" si="8"/>
        <v>3.2</v>
      </c>
      <c r="K58" s="4">
        <f t="shared" si="3"/>
        <v>1929.6</v>
      </c>
      <c r="L58" s="3"/>
      <c r="M58" s="3"/>
      <c r="N58" s="3"/>
    </row>
    <row r="59" ht="71.25" spans="1:14">
      <c r="A59" s="3">
        <v>68</v>
      </c>
      <c r="B59" s="6"/>
      <c r="C59" s="3" t="s">
        <v>69</v>
      </c>
      <c r="D59" s="3" cm="1">
        <f t="array" ref="D59">SUM(VALUE(SUBSTITUTE(_xlfn.TEXTAFTER(_xlfn.TEXTSPLIT(C59,CHAR(10)),"-",-1),"km","")))</f>
        <v>513</v>
      </c>
      <c r="E59" s="3">
        <f>180+27+59+47</f>
        <v>313</v>
      </c>
      <c r="F59" s="4">
        <f t="shared" si="0"/>
        <v>3.76146788990826</v>
      </c>
      <c r="G59" s="4">
        <f t="shared" si="7"/>
        <v>4.1</v>
      </c>
      <c r="H59" s="4">
        <f t="shared" si="1"/>
        <v>1929.63302752294</v>
      </c>
      <c r="I59" s="4">
        <f t="shared" si="2"/>
        <v>2103.3</v>
      </c>
      <c r="J59" s="4">
        <f t="shared" si="8"/>
        <v>3.2</v>
      </c>
      <c r="K59" s="4">
        <f t="shared" si="3"/>
        <v>1641.6</v>
      </c>
      <c r="L59" s="3"/>
      <c r="M59" s="3"/>
      <c r="N59" s="3"/>
    </row>
    <row r="60" ht="42.75" spans="1:14">
      <c r="A60" s="3"/>
      <c r="B60" s="6"/>
      <c r="C60" s="3" t="s">
        <v>70</v>
      </c>
      <c r="D60" s="3" cm="1">
        <f t="array" ref="D60">SUM(VALUE(SUBSTITUTE(_xlfn.TEXTAFTER(_xlfn.TEXTSPLIT(C60,CHAR(10)),"-",-1),"km","")))</f>
        <v>267</v>
      </c>
      <c r="E60" s="3">
        <f>180+27+59+47</f>
        <v>313</v>
      </c>
      <c r="F60" s="4">
        <f t="shared" si="0"/>
        <v>3.94495412844037</v>
      </c>
      <c r="G60" s="4">
        <f t="shared" si="7"/>
        <v>4.3</v>
      </c>
      <c r="H60" s="4">
        <f t="shared" si="1"/>
        <v>1053.30275229358</v>
      </c>
      <c r="I60" s="4">
        <f t="shared" si="2"/>
        <v>1148.1</v>
      </c>
      <c r="J60" s="4">
        <f t="shared" si="8"/>
        <v>3.5</v>
      </c>
      <c r="K60" s="4">
        <f t="shared" si="3"/>
        <v>934.5</v>
      </c>
      <c r="L60" s="3"/>
      <c r="M60" s="3"/>
      <c r="N60" s="3"/>
    </row>
    <row r="61" ht="57" spans="1:14">
      <c r="A61" s="3"/>
      <c r="B61" s="6"/>
      <c r="C61" s="3" t="s">
        <v>71</v>
      </c>
      <c r="D61" s="3" cm="1">
        <f t="array" ref="D61">SUM(VALUE(SUBSTITUTE(_xlfn.TEXTAFTER(_xlfn.TEXTSPLIT(C61,CHAR(10)),"-",-1),"km","")))</f>
        <v>322</v>
      </c>
      <c r="E61" s="3">
        <f>180+27+59+47</f>
        <v>313</v>
      </c>
      <c r="F61" s="4">
        <f t="shared" si="0"/>
        <v>3.76146788990826</v>
      </c>
      <c r="G61" s="4">
        <f t="shared" si="7"/>
        <v>4.1</v>
      </c>
      <c r="H61" s="4">
        <f t="shared" si="1"/>
        <v>1211.19266055046</v>
      </c>
      <c r="I61" s="4">
        <f t="shared" si="2"/>
        <v>1320.2</v>
      </c>
      <c r="J61" s="4">
        <f t="shared" si="8"/>
        <v>3.2</v>
      </c>
      <c r="K61" s="4">
        <f t="shared" si="3"/>
        <v>1030.4</v>
      </c>
      <c r="L61" s="3"/>
      <c r="M61" s="3"/>
      <c r="N61" s="3"/>
    </row>
    <row r="62" ht="57" spans="1:14">
      <c r="A62" s="3">
        <v>69</v>
      </c>
      <c r="B62" s="6"/>
      <c r="C62" s="3" t="s">
        <v>72</v>
      </c>
      <c r="D62" s="3" cm="1">
        <f t="array" ref="D62">SUM(VALUE(SUBSTITUTE(_xlfn.TEXTAFTER(_xlfn.TEXTSPLIT(C62,CHAR(10)),"-",-1),"km","")))</f>
        <v>298</v>
      </c>
      <c r="E62" s="3">
        <f>190+43</f>
        <v>233</v>
      </c>
      <c r="F62" s="4">
        <f t="shared" si="0"/>
        <v>3.94495412844037</v>
      </c>
      <c r="G62" s="4">
        <f t="shared" si="7"/>
        <v>4.3</v>
      </c>
      <c r="H62" s="4">
        <f t="shared" si="1"/>
        <v>1175.59633027523</v>
      </c>
      <c r="I62" s="4">
        <f t="shared" si="2"/>
        <v>1281.4</v>
      </c>
      <c r="J62" s="4">
        <f t="shared" si="8"/>
        <v>3.5</v>
      </c>
      <c r="K62" s="4">
        <f t="shared" si="3"/>
        <v>1043</v>
      </c>
      <c r="L62" s="3"/>
      <c r="M62" s="3"/>
      <c r="N62" s="3"/>
    </row>
    <row r="63" ht="99.75" spans="1:14">
      <c r="A63" s="3">
        <v>70</v>
      </c>
      <c r="B63" s="6"/>
      <c r="C63" s="3" t="s">
        <v>73</v>
      </c>
      <c r="D63" s="3" cm="1">
        <f t="array" ref="D63">SUM(VALUE(SUBSTITUTE(_xlfn.TEXTAFTER(_xlfn.TEXTSPLIT(C63,CHAR(10)),"-",-1),"km","")))</f>
        <v>334</v>
      </c>
      <c r="E63" s="3">
        <f>98+48</f>
        <v>146</v>
      </c>
      <c r="F63" s="4">
        <f t="shared" si="0"/>
        <v>3.76146788990826</v>
      </c>
      <c r="G63" s="4">
        <f t="shared" si="7"/>
        <v>4.1</v>
      </c>
      <c r="H63" s="4">
        <f t="shared" si="1"/>
        <v>1256.33027522936</v>
      </c>
      <c r="I63" s="4">
        <f t="shared" si="2"/>
        <v>1369.4</v>
      </c>
      <c r="J63" s="4">
        <f t="shared" si="8"/>
        <v>3.2</v>
      </c>
      <c r="K63" s="4">
        <f t="shared" si="3"/>
        <v>1068.8</v>
      </c>
      <c r="L63" s="3"/>
      <c r="M63" s="3"/>
      <c r="N63" s="3"/>
    </row>
    <row r="64" ht="71.25" spans="1:14">
      <c r="A64" s="3">
        <v>74</v>
      </c>
      <c r="B64" s="5">
        <v>45917</v>
      </c>
      <c r="C64" s="3" t="s">
        <v>74</v>
      </c>
      <c r="D64" s="3" cm="1">
        <f t="array" ref="D64">SUM(VALUE(SUBSTITUTE(_xlfn.TEXTAFTER(_xlfn.TEXTSPLIT(C64,CHAR(10)),"-",-1),"km","")))</f>
        <v>240</v>
      </c>
      <c r="E64" s="3">
        <f>97+62+17</f>
        <v>176</v>
      </c>
      <c r="F64" s="4">
        <f t="shared" si="0"/>
        <v>3.94495412844037</v>
      </c>
      <c r="G64" s="4">
        <f t="shared" si="7"/>
        <v>4.3</v>
      </c>
      <c r="H64" s="4">
        <f t="shared" si="1"/>
        <v>946.788990825688</v>
      </c>
      <c r="I64" s="4">
        <f t="shared" si="2"/>
        <v>1032</v>
      </c>
      <c r="J64" s="4">
        <f t="shared" si="8"/>
        <v>3.5</v>
      </c>
      <c r="K64" s="4">
        <f t="shared" si="3"/>
        <v>840</v>
      </c>
      <c r="L64" s="3"/>
      <c r="M64" s="3"/>
      <c r="N64" s="3"/>
    </row>
    <row r="65" ht="57" spans="1:14">
      <c r="A65" s="3">
        <v>75</v>
      </c>
      <c r="B65" s="6"/>
      <c r="C65" s="3" t="s">
        <v>75</v>
      </c>
      <c r="D65" s="3" cm="1">
        <f t="array" ref="D65">SUM(VALUE(SUBSTITUTE(_xlfn.TEXTAFTER(_xlfn.TEXTSPLIT(C65,CHAR(10)),"-",-1),"km","")))</f>
        <v>170</v>
      </c>
      <c r="E65" s="1">
        <f>86+10+12+10</f>
        <v>118</v>
      </c>
      <c r="F65" s="4">
        <f t="shared" si="0"/>
        <v>4.12844036697248</v>
      </c>
      <c r="G65" s="4">
        <f t="shared" si="7"/>
        <v>4.5</v>
      </c>
      <c r="H65" s="4">
        <f t="shared" si="1"/>
        <v>701.834862385321</v>
      </c>
      <c r="I65" s="4">
        <f t="shared" si="2"/>
        <v>765</v>
      </c>
      <c r="J65" s="4">
        <f t="shared" si="8"/>
        <v>3.5</v>
      </c>
      <c r="K65" s="4">
        <f t="shared" si="3"/>
        <v>595</v>
      </c>
      <c r="L65" s="3"/>
      <c r="M65" s="3"/>
      <c r="N65" s="3"/>
    </row>
    <row r="66" ht="71.25" spans="1:14">
      <c r="A66" s="3">
        <v>76</v>
      </c>
      <c r="B66" s="6"/>
      <c r="C66" s="3" t="s">
        <v>76</v>
      </c>
      <c r="D66" s="3" cm="1">
        <f t="array" ref="D66">SUM(VALUE(SUBSTITUTE(_xlfn.TEXTAFTER(_xlfn.TEXTSPLIT(C66,CHAR(10)),"-",-1),"km","")))</f>
        <v>236.7</v>
      </c>
      <c r="E66" s="3">
        <f>157+16</f>
        <v>173</v>
      </c>
      <c r="F66" s="4">
        <f t="shared" ref="F66:F83" si="9">G66/1.09</f>
        <v>3.94495412844037</v>
      </c>
      <c r="G66" s="4">
        <f t="shared" si="7"/>
        <v>4.3</v>
      </c>
      <c r="H66" s="4">
        <f t="shared" ref="H66:H83" si="10">D66*F66</f>
        <v>933.770642201835</v>
      </c>
      <c r="I66" s="4">
        <f t="shared" ref="I66:I83" si="11">D66*G66</f>
        <v>1017.81</v>
      </c>
      <c r="J66" s="4">
        <f t="shared" si="8"/>
        <v>3.5</v>
      </c>
      <c r="K66" s="4">
        <f t="shared" ref="K66:K83" si="12">D66*J66</f>
        <v>828.45</v>
      </c>
      <c r="L66" s="3"/>
      <c r="M66" s="3"/>
      <c r="N66" s="3"/>
    </row>
    <row r="67" ht="114" spans="1:14">
      <c r="A67" s="3"/>
      <c r="B67" s="6"/>
      <c r="C67" s="3" t="s">
        <v>77</v>
      </c>
      <c r="D67" s="3" cm="1">
        <f t="array" ref="D67">SUM(VALUE(SUBSTITUTE(_xlfn.TEXTAFTER(_xlfn.TEXTSPLIT(C67,CHAR(10)),"-",-1),"km","")))</f>
        <v>217.6</v>
      </c>
      <c r="E67" s="3">
        <f>157+16</f>
        <v>173</v>
      </c>
      <c r="F67" s="4">
        <f t="shared" si="9"/>
        <v>3.94495412844037</v>
      </c>
      <c r="G67" s="4">
        <f t="shared" ref="G67:G108" si="13">IF(D67&gt;=301,4.1,IF(D67&gt;=201,4.3,IF(D67&gt;=101,4.5,"")))</f>
        <v>4.3</v>
      </c>
      <c r="H67" s="4">
        <f t="shared" si="10"/>
        <v>858.422018348624</v>
      </c>
      <c r="I67" s="4">
        <f t="shared" si="11"/>
        <v>935.68</v>
      </c>
      <c r="J67" s="4">
        <f t="shared" si="8"/>
        <v>3.5</v>
      </c>
      <c r="K67" s="4">
        <f t="shared" si="12"/>
        <v>761.6</v>
      </c>
      <c r="L67" s="3"/>
      <c r="M67" s="3"/>
      <c r="N67" s="3"/>
    </row>
    <row r="68" ht="71.25" spans="1:14">
      <c r="A68" s="3">
        <v>77</v>
      </c>
      <c r="B68" s="6"/>
      <c r="C68" s="3" t="s">
        <v>78</v>
      </c>
      <c r="D68" s="3" cm="1">
        <f t="array" ref="D68">SUM(VALUE(SUBSTITUTE(_xlfn.TEXTAFTER(_xlfn.TEXTSPLIT(C68,CHAR(10)),"-",-1),"km","")))</f>
        <v>268.6</v>
      </c>
      <c r="E68" s="3">
        <f>157+16</f>
        <v>173</v>
      </c>
      <c r="F68" s="4">
        <f t="shared" si="9"/>
        <v>3.94495412844037</v>
      </c>
      <c r="G68" s="4">
        <f t="shared" si="13"/>
        <v>4.3</v>
      </c>
      <c r="H68" s="4">
        <f t="shared" si="10"/>
        <v>1059.61467889908</v>
      </c>
      <c r="I68" s="4">
        <f t="shared" si="11"/>
        <v>1154.98</v>
      </c>
      <c r="J68" s="4">
        <f t="shared" ref="J68:J106" si="14">IF(D68&gt;=301,3.2,IF(D68&gt;=201,3.5,IF(D68&gt;=101,3.5,"")))</f>
        <v>3.5</v>
      </c>
      <c r="K68" s="4">
        <f t="shared" si="12"/>
        <v>940.1</v>
      </c>
      <c r="L68" s="3"/>
      <c r="M68" s="3"/>
      <c r="N68" s="3"/>
    </row>
    <row r="69" ht="114" spans="1:14">
      <c r="A69" s="3">
        <v>79</v>
      </c>
      <c r="B69" s="5">
        <v>45918</v>
      </c>
      <c r="C69" s="11" t="s">
        <v>79</v>
      </c>
      <c r="D69" s="3" cm="1">
        <f t="array" ref="D69">SUM(VALUE(SUBSTITUTE(_xlfn.TEXTAFTER(_xlfn.TEXTSPLIT(C69,CHAR(10)),"-",-1),"km","")))</f>
        <v>590</v>
      </c>
      <c r="E69" s="3">
        <f>120+74+34+43</f>
        <v>271</v>
      </c>
      <c r="F69" s="4">
        <f t="shared" si="9"/>
        <v>3.76146788990826</v>
      </c>
      <c r="G69" s="4">
        <f t="shared" si="13"/>
        <v>4.1</v>
      </c>
      <c r="H69" s="4">
        <f t="shared" si="10"/>
        <v>2219.26605504587</v>
      </c>
      <c r="I69" s="4">
        <f t="shared" si="11"/>
        <v>2419</v>
      </c>
      <c r="J69" s="4">
        <f t="shared" si="14"/>
        <v>3.2</v>
      </c>
      <c r="K69" s="4">
        <f t="shared" si="12"/>
        <v>1888</v>
      </c>
      <c r="L69" s="3"/>
      <c r="M69" s="3"/>
      <c r="N69" s="3"/>
    </row>
    <row r="70" ht="99.75" spans="1:14">
      <c r="A70" s="3">
        <v>80</v>
      </c>
      <c r="B70" s="6"/>
      <c r="C70" s="11" t="s">
        <v>80</v>
      </c>
      <c r="D70" s="3" cm="1">
        <f t="array" ref="D70">SUM(VALUE(SUBSTITUTE(_xlfn.TEXTAFTER(_xlfn.TEXTSPLIT(C70,CHAR(10)),"-",-1),"km","")))</f>
        <v>344.1</v>
      </c>
      <c r="E70" s="3">
        <f>127+59+42+42+50</f>
        <v>320</v>
      </c>
      <c r="F70" s="4">
        <f t="shared" si="9"/>
        <v>3.76146788990826</v>
      </c>
      <c r="G70" s="4">
        <f t="shared" si="13"/>
        <v>4.1</v>
      </c>
      <c r="H70" s="4">
        <f t="shared" si="10"/>
        <v>1294.32110091743</v>
      </c>
      <c r="I70" s="4">
        <f t="shared" si="11"/>
        <v>1410.81</v>
      </c>
      <c r="J70" s="4">
        <f t="shared" si="14"/>
        <v>3.2</v>
      </c>
      <c r="K70" s="4">
        <f t="shared" si="12"/>
        <v>1101.12</v>
      </c>
      <c r="L70" s="3"/>
      <c r="M70" s="3"/>
      <c r="N70" s="3"/>
    </row>
    <row r="71" ht="99.75" spans="1:14">
      <c r="A71" s="3"/>
      <c r="B71" s="6"/>
      <c r="C71" s="11" t="s">
        <v>81</v>
      </c>
      <c r="D71" s="3" cm="1">
        <f t="array" ref="D71">SUM(VALUE(SUBSTITUTE(_xlfn.TEXTAFTER(_xlfn.TEXTSPLIT(C71,CHAR(10)),"-",-1),"km","")))</f>
        <v>357</v>
      </c>
      <c r="E71" s="3">
        <f>127+59+42+42+50</f>
        <v>320</v>
      </c>
      <c r="F71" s="4">
        <f t="shared" si="9"/>
        <v>3.76146788990826</v>
      </c>
      <c r="G71" s="4">
        <f t="shared" si="13"/>
        <v>4.1</v>
      </c>
      <c r="H71" s="4">
        <f t="shared" si="10"/>
        <v>1342.84403669725</v>
      </c>
      <c r="I71" s="4">
        <f t="shared" si="11"/>
        <v>1463.7</v>
      </c>
      <c r="J71" s="4">
        <f t="shared" si="14"/>
        <v>3.2</v>
      </c>
      <c r="K71" s="4">
        <f t="shared" si="12"/>
        <v>1142.4</v>
      </c>
      <c r="L71" s="3"/>
      <c r="M71" s="3"/>
      <c r="N71" s="3"/>
    </row>
    <row r="72" ht="85.5" spans="1:14">
      <c r="A72" s="3">
        <v>81</v>
      </c>
      <c r="B72" s="6"/>
      <c r="C72" s="11" t="s">
        <v>82</v>
      </c>
      <c r="D72" s="3" cm="1">
        <f t="array" ref="D72">SUM(VALUE(SUBSTITUTE(_xlfn.TEXTAFTER(_xlfn.TEXTSPLIT(C72,CHAR(10)),"-",-1),"km","")))</f>
        <v>259</v>
      </c>
      <c r="E72" s="3">
        <f>98+137+9.5+59+47</f>
        <v>350.5</v>
      </c>
      <c r="F72" s="4">
        <f t="shared" si="9"/>
        <v>3.94495412844037</v>
      </c>
      <c r="G72" s="4">
        <f t="shared" si="13"/>
        <v>4.3</v>
      </c>
      <c r="H72" s="4">
        <f t="shared" si="10"/>
        <v>1021.74311926605</v>
      </c>
      <c r="I72" s="4">
        <f t="shared" si="11"/>
        <v>1113.7</v>
      </c>
      <c r="J72" s="4">
        <f t="shared" si="14"/>
        <v>3.5</v>
      </c>
      <c r="K72" s="4">
        <f t="shared" si="12"/>
        <v>906.5</v>
      </c>
      <c r="L72" s="3"/>
      <c r="M72" s="3"/>
      <c r="N72" s="3"/>
    </row>
    <row r="73" ht="171" spans="1:14">
      <c r="A73" s="3">
        <v>82</v>
      </c>
      <c r="B73" s="12"/>
      <c r="C73" s="11" t="s">
        <v>83</v>
      </c>
      <c r="D73" s="3" cm="1">
        <f t="array" ref="D73">SUM(VALUE(SUBSTITUTE(_xlfn.TEXTAFTER(_xlfn.TEXTSPLIT(C73,CHAR(10)),"-",-1),"km","")))</f>
        <v>329</v>
      </c>
      <c r="E73" s="3">
        <f>184+32+4.5+6.7+9.3</f>
        <v>236.5</v>
      </c>
      <c r="F73" s="4">
        <f t="shared" si="9"/>
        <v>3.76146788990826</v>
      </c>
      <c r="G73" s="4">
        <f t="shared" si="13"/>
        <v>4.1</v>
      </c>
      <c r="H73" s="4">
        <f t="shared" si="10"/>
        <v>1237.52293577982</v>
      </c>
      <c r="I73" s="4">
        <f t="shared" si="11"/>
        <v>1348.9</v>
      </c>
      <c r="J73" s="4">
        <f t="shared" si="14"/>
        <v>3.2</v>
      </c>
      <c r="K73" s="4">
        <f t="shared" si="12"/>
        <v>1052.8</v>
      </c>
      <c r="L73" s="3"/>
      <c r="M73" s="3"/>
      <c r="N73" s="3"/>
    </row>
    <row r="74" ht="114" spans="1:14">
      <c r="A74" s="3">
        <v>83</v>
      </c>
      <c r="B74" s="5">
        <v>45919</v>
      </c>
      <c r="C74" s="3" t="s">
        <v>84</v>
      </c>
      <c r="D74" s="3" cm="1">
        <f t="array" ref="D74">SUM(VALUE(SUBSTITUTE(_xlfn.TEXTAFTER(_xlfn.TEXTSPLIT(C74,CHAR(10)),"-",-1),"km","")))</f>
        <v>265</v>
      </c>
      <c r="E74" s="3">
        <f>86+10+12+10+6</f>
        <v>124</v>
      </c>
      <c r="F74" s="4">
        <f t="shared" si="9"/>
        <v>3.94495412844037</v>
      </c>
      <c r="G74" s="4">
        <f t="shared" si="13"/>
        <v>4.3</v>
      </c>
      <c r="H74" s="4">
        <f t="shared" si="10"/>
        <v>1045.4128440367</v>
      </c>
      <c r="I74" s="4">
        <f t="shared" si="11"/>
        <v>1139.5</v>
      </c>
      <c r="J74" s="4">
        <f t="shared" si="14"/>
        <v>3.5</v>
      </c>
      <c r="K74" s="4">
        <f t="shared" si="12"/>
        <v>927.5</v>
      </c>
      <c r="L74" s="3"/>
      <c r="M74" s="3"/>
      <c r="N74" s="3"/>
    </row>
    <row r="75" ht="85.5" spans="1:14">
      <c r="A75" s="3">
        <v>84</v>
      </c>
      <c r="B75" s="6"/>
      <c r="C75" s="3" t="s">
        <v>85</v>
      </c>
      <c r="D75" s="3" cm="1">
        <f t="array" ref="D75">SUM(VALUE(SUBSTITUTE(_xlfn.TEXTAFTER(_xlfn.TEXTSPLIT(C75,CHAR(10)),"-",-1),"km","")))</f>
        <v>123.7</v>
      </c>
      <c r="E75" s="3">
        <v>1</v>
      </c>
      <c r="F75" s="4">
        <f t="shared" si="9"/>
        <v>4.12844036697248</v>
      </c>
      <c r="G75" s="4">
        <f t="shared" si="13"/>
        <v>4.5</v>
      </c>
      <c r="H75" s="4">
        <f t="shared" si="10"/>
        <v>510.688073394495</v>
      </c>
      <c r="I75" s="4">
        <f t="shared" si="11"/>
        <v>556.65</v>
      </c>
      <c r="J75" s="4">
        <f t="shared" si="14"/>
        <v>3.5</v>
      </c>
      <c r="K75" s="4">
        <f t="shared" si="12"/>
        <v>432.95</v>
      </c>
      <c r="L75" s="3"/>
      <c r="M75" s="3"/>
      <c r="N75" s="3"/>
    </row>
    <row r="76" ht="114" spans="1:14">
      <c r="A76" s="3">
        <v>85</v>
      </c>
      <c r="B76" s="6"/>
      <c r="C76" s="3" t="s">
        <v>86</v>
      </c>
      <c r="D76" s="3" cm="1">
        <f t="array" ref="D76">SUM(VALUE(SUBSTITUTE(_xlfn.TEXTAFTER(_xlfn.TEXTSPLIT(C76,CHAR(10)),"-",-1),"km","")))</f>
        <v>219.6</v>
      </c>
      <c r="E76" s="3">
        <f>157+16</f>
        <v>173</v>
      </c>
      <c r="F76" s="4">
        <f t="shared" si="9"/>
        <v>3.94495412844037</v>
      </c>
      <c r="G76" s="4">
        <f t="shared" si="13"/>
        <v>4.3</v>
      </c>
      <c r="H76" s="4">
        <f t="shared" si="10"/>
        <v>866.311926605504</v>
      </c>
      <c r="I76" s="4">
        <f t="shared" si="11"/>
        <v>944.28</v>
      </c>
      <c r="J76" s="4">
        <f t="shared" si="14"/>
        <v>3.5</v>
      </c>
      <c r="K76" s="4">
        <f t="shared" si="12"/>
        <v>768.6</v>
      </c>
      <c r="L76" s="3"/>
      <c r="M76" s="3"/>
      <c r="N76" s="3"/>
    </row>
    <row r="77" ht="99.75" spans="1:14">
      <c r="A77" s="3">
        <v>86</v>
      </c>
      <c r="B77" s="12"/>
      <c r="C77" s="3" t="s">
        <v>87</v>
      </c>
      <c r="D77" s="3" cm="1">
        <f t="array" ref="D77">SUM(VALUE(SUBSTITUTE(_xlfn.TEXTAFTER(_xlfn.TEXTSPLIT(C77,CHAR(10)),"-",-1),"km","")))</f>
        <v>283</v>
      </c>
      <c r="E77" s="3">
        <f>129+17+58</f>
        <v>204</v>
      </c>
      <c r="F77" s="4">
        <f t="shared" si="9"/>
        <v>3.94495412844037</v>
      </c>
      <c r="G77" s="4">
        <f t="shared" si="13"/>
        <v>4.3</v>
      </c>
      <c r="H77" s="4">
        <f t="shared" si="10"/>
        <v>1116.42201834862</v>
      </c>
      <c r="I77" s="4">
        <f t="shared" si="11"/>
        <v>1216.9</v>
      </c>
      <c r="J77" s="4">
        <f t="shared" si="14"/>
        <v>3.5</v>
      </c>
      <c r="K77" s="4">
        <f t="shared" si="12"/>
        <v>990.5</v>
      </c>
      <c r="L77" s="3"/>
      <c r="M77" s="3"/>
      <c r="N77" s="3"/>
    </row>
    <row r="78" ht="99.75" spans="1:14">
      <c r="A78" s="3">
        <v>87</v>
      </c>
      <c r="B78" s="5">
        <v>45920</v>
      </c>
      <c r="C78" s="3" t="s">
        <v>88</v>
      </c>
      <c r="D78" s="3" cm="1">
        <f t="array" ref="D78">SUM(VALUE(SUBSTITUTE(_xlfn.TEXTAFTER(_xlfn.TEXTSPLIT(C78,CHAR(10)),"-",-1),"km","")))</f>
        <v>231</v>
      </c>
      <c r="E78" s="3">
        <f>167+38+3.6+39+50</f>
        <v>297.6</v>
      </c>
      <c r="F78" s="4">
        <f t="shared" si="9"/>
        <v>3.94495412844037</v>
      </c>
      <c r="G78" s="4">
        <f t="shared" si="13"/>
        <v>4.3</v>
      </c>
      <c r="H78" s="4">
        <f t="shared" si="10"/>
        <v>911.284403669725</v>
      </c>
      <c r="I78" s="4">
        <f t="shared" si="11"/>
        <v>993.3</v>
      </c>
      <c r="J78" s="4">
        <f t="shared" si="14"/>
        <v>3.5</v>
      </c>
      <c r="K78" s="4">
        <f t="shared" si="12"/>
        <v>808.5</v>
      </c>
      <c r="L78" s="3"/>
      <c r="M78" s="3"/>
      <c r="N78" s="3"/>
    </row>
    <row r="79" ht="111" customHeight="1" spans="1:14">
      <c r="A79" s="3">
        <v>88</v>
      </c>
      <c r="B79" s="6"/>
      <c r="C79" s="3" t="s">
        <v>89</v>
      </c>
      <c r="D79" s="3" cm="1">
        <f t="array" ref="D79">SUM(VALUE(SUBSTITUTE(_xlfn.TEXTAFTER(_xlfn.TEXTSPLIT(C79,CHAR(10)),"-",-1),"km","")))</f>
        <v>569</v>
      </c>
      <c r="E79" s="3">
        <f>180+16+9.5+59+47</f>
        <v>311.5</v>
      </c>
      <c r="F79" s="4">
        <f t="shared" si="9"/>
        <v>3.76146788990826</v>
      </c>
      <c r="G79" s="4">
        <f t="shared" si="13"/>
        <v>4.1</v>
      </c>
      <c r="H79" s="4">
        <f t="shared" si="10"/>
        <v>2140.2752293578</v>
      </c>
      <c r="I79" s="4">
        <f t="shared" si="11"/>
        <v>2332.9</v>
      </c>
      <c r="J79" s="4">
        <f t="shared" si="14"/>
        <v>3.2</v>
      </c>
      <c r="K79" s="4">
        <f t="shared" si="12"/>
        <v>1820.8</v>
      </c>
      <c r="L79" s="3"/>
      <c r="M79" s="3"/>
      <c r="N79" s="3"/>
    </row>
    <row r="80" ht="128.25" spans="1:14">
      <c r="A80" s="3">
        <v>89</v>
      </c>
      <c r="B80" s="6"/>
      <c r="C80" s="3" t="s">
        <v>90</v>
      </c>
      <c r="D80" s="3" cm="1">
        <f t="array" ref="D80">SUM(VALUE(SUBSTITUTE(_xlfn.TEXTAFTER(_xlfn.TEXTSPLIT(C80,CHAR(10)),"-",-1),"km","")))</f>
        <v>617</v>
      </c>
      <c r="E80" s="3">
        <f>120+55+62+34+43</f>
        <v>314</v>
      </c>
      <c r="F80" s="4">
        <f t="shared" si="9"/>
        <v>3.76146788990826</v>
      </c>
      <c r="G80" s="4">
        <f t="shared" si="13"/>
        <v>4.1</v>
      </c>
      <c r="H80" s="4">
        <f t="shared" si="10"/>
        <v>2320.82568807339</v>
      </c>
      <c r="I80" s="4">
        <f t="shared" si="11"/>
        <v>2529.7</v>
      </c>
      <c r="J80" s="4">
        <f t="shared" si="14"/>
        <v>3.2</v>
      </c>
      <c r="K80" s="4">
        <f t="shared" si="12"/>
        <v>1974.4</v>
      </c>
      <c r="L80" s="3"/>
      <c r="M80" s="3"/>
      <c r="N80" s="3"/>
    </row>
    <row r="81" ht="85.5" spans="1:14">
      <c r="A81" s="3">
        <v>90</v>
      </c>
      <c r="B81" s="6"/>
      <c r="C81" s="3" t="s">
        <v>91</v>
      </c>
      <c r="D81" s="3" cm="1">
        <f t="array" ref="D81">SUM(VALUE(SUBSTITUTE(_xlfn.TEXTAFTER(_xlfn.TEXTSPLIT(C81,CHAR(10)),"-",-1),"km","")))</f>
        <v>299.1</v>
      </c>
      <c r="E81" s="3">
        <f>120+55+62+34+43</f>
        <v>314</v>
      </c>
      <c r="F81" s="4">
        <f t="shared" si="9"/>
        <v>3.94495412844037</v>
      </c>
      <c r="G81" s="4">
        <f t="shared" si="13"/>
        <v>4.3</v>
      </c>
      <c r="H81" s="4">
        <f t="shared" si="10"/>
        <v>1179.93577981651</v>
      </c>
      <c r="I81" s="4">
        <f t="shared" si="11"/>
        <v>1286.13</v>
      </c>
      <c r="J81" s="4">
        <f t="shared" si="14"/>
        <v>3.5</v>
      </c>
      <c r="K81" s="4">
        <f t="shared" si="12"/>
        <v>1046.85</v>
      </c>
      <c r="L81" s="3"/>
      <c r="M81" s="3"/>
      <c r="N81" s="3"/>
    </row>
    <row r="82" ht="85.5" spans="1:14">
      <c r="A82" s="3">
        <v>91</v>
      </c>
      <c r="B82" s="13">
        <v>45921</v>
      </c>
      <c r="C82" s="3" t="s">
        <v>92</v>
      </c>
      <c r="D82" s="3" cm="1">
        <f t="array" ref="D82">SUM(VALUE(SUBSTITUTE(_xlfn.TEXTAFTER(_xlfn.TEXTSPLIT(C82,CHAR(10)),"-",-1),"km","")))</f>
        <v>171.4</v>
      </c>
      <c r="E82" s="3">
        <f>101+6+62+17</f>
        <v>186</v>
      </c>
      <c r="F82" s="4">
        <f t="shared" si="9"/>
        <v>4.12844036697248</v>
      </c>
      <c r="G82" s="4">
        <f t="shared" si="13"/>
        <v>4.5</v>
      </c>
      <c r="H82" s="4">
        <f t="shared" si="10"/>
        <v>707.614678899082</v>
      </c>
      <c r="I82" s="4">
        <f t="shared" si="11"/>
        <v>771.3</v>
      </c>
      <c r="J82" s="4">
        <f t="shared" si="14"/>
        <v>3.5</v>
      </c>
      <c r="K82" s="4">
        <f t="shared" si="12"/>
        <v>599.9</v>
      </c>
      <c r="L82" s="3"/>
      <c r="M82" s="3"/>
      <c r="N82" s="3"/>
    </row>
    <row r="83" ht="120" customHeight="1" spans="1:14">
      <c r="A83" s="3">
        <v>92</v>
      </c>
      <c r="B83" s="13">
        <v>45921</v>
      </c>
      <c r="C83" s="3" t="s">
        <v>93</v>
      </c>
      <c r="D83" s="3" cm="1">
        <f t="array" ref="D83">SUM(VALUE(SUBSTITUTE(_xlfn.TEXTAFTER(_xlfn.TEXTSPLIT(C83,CHAR(10)),"-",-1),"km","")))</f>
        <v>263.3</v>
      </c>
      <c r="E83" s="3">
        <f>18+22+67+10+12</f>
        <v>129</v>
      </c>
      <c r="F83" s="4">
        <f t="shared" si="9"/>
        <v>3.94495412844037</v>
      </c>
      <c r="G83" s="4">
        <f t="shared" si="13"/>
        <v>4.3</v>
      </c>
      <c r="H83" s="4">
        <f t="shared" si="10"/>
        <v>1038.70642201835</v>
      </c>
      <c r="I83" s="4">
        <f t="shared" si="11"/>
        <v>1132.19</v>
      </c>
      <c r="J83" s="4">
        <f t="shared" si="14"/>
        <v>3.5</v>
      </c>
      <c r="K83" s="4">
        <f t="shared" si="12"/>
        <v>921.55</v>
      </c>
      <c r="L83" s="3"/>
      <c r="M83" s="3"/>
      <c r="N83" s="3"/>
    </row>
    <row r="84" ht="67.05" customHeight="1" spans="1:14">
      <c r="A84" s="3"/>
      <c r="B84" s="13">
        <v>45921</v>
      </c>
      <c r="C84" s="3" t="s">
        <v>94</v>
      </c>
      <c r="D84" s="3" cm="1">
        <f t="array" ref="D84">SUM(VALUE(SUBSTITUTE(_xlfn.TEXTAFTER(_xlfn.TEXTSPLIT(C84,CHAR(10)),"-",-1),"km","")))</f>
        <v>152</v>
      </c>
      <c r="E84" s="3"/>
      <c r="F84" s="4">
        <f t="shared" ref="F84:F95" si="15">G84/1.09</f>
        <v>4.12844036697248</v>
      </c>
      <c r="G84" s="4">
        <f t="shared" si="13"/>
        <v>4.5</v>
      </c>
      <c r="H84" s="4">
        <f t="shared" ref="H84:H95" si="16">D84*F84</f>
        <v>627.522935779816</v>
      </c>
      <c r="I84" s="4">
        <f t="shared" ref="I84:I95" si="17">D84*G84</f>
        <v>684</v>
      </c>
      <c r="J84" s="4">
        <f t="shared" si="14"/>
        <v>3.5</v>
      </c>
      <c r="K84" s="4">
        <f t="shared" ref="K84:K95" si="18">D84*J84</f>
        <v>532</v>
      </c>
      <c r="L84" s="3"/>
      <c r="M84" s="3"/>
      <c r="N84" s="3"/>
    </row>
    <row r="85" ht="67.05" customHeight="1" spans="1:14">
      <c r="A85" s="3"/>
      <c r="B85" s="13">
        <v>45921</v>
      </c>
      <c r="C85" s="3" t="s">
        <v>94</v>
      </c>
      <c r="D85" s="3" cm="1">
        <f t="array" ref="D85">SUM(VALUE(SUBSTITUTE(_xlfn.TEXTAFTER(_xlfn.TEXTSPLIT(C85,CHAR(10)),"-",-1),"km","")))</f>
        <v>152</v>
      </c>
      <c r="E85" s="3"/>
      <c r="F85" s="4">
        <f t="shared" si="15"/>
        <v>4.12844036697248</v>
      </c>
      <c r="G85" s="4">
        <f t="shared" si="13"/>
        <v>4.5</v>
      </c>
      <c r="H85" s="4">
        <f t="shared" si="16"/>
        <v>627.522935779816</v>
      </c>
      <c r="I85" s="4">
        <f t="shared" si="17"/>
        <v>684</v>
      </c>
      <c r="J85" s="4">
        <f t="shared" si="14"/>
        <v>3.5</v>
      </c>
      <c r="K85" s="4">
        <f t="shared" si="18"/>
        <v>532</v>
      </c>
      <c r="L85" s="3"/>
      <c r="M85" s="3"/>
      <c r="N85" s="3"/>
    </row>
    <row r="86" ht="42.75" spans="1:14">
      <c r="A86" s="3">
        <v>95</v>
      </c>
      <c r="B86" s="13">
        <v>45922</v>
      </c>
      <c r="C86" s="3" t="s">
        <v>95</v>
      </c>
      <c r="D86" s="3" cm="1">
        <f t="array" ref="D86">SUM(VALUE(SUBSTITUTE(_xlfn.TEXTAFTER(_xlfn.TEXTSPLIT(C86,CHAR(10)),"-",-1),"km","")))</f>
        <v>150.1</v>
      </c>
      <c r="E86" s="3">
        <f>120+91+42+60</f>
        <v>313</v>
      </c>
      <c r="F86" s="4">
        <f t="shared" si="15"/>
        <v>4.12844036697248</v>
      </c>
      <c r="G86" s="4">
        <f t="shared" si="13"/>
        <v>4.5</v>
      </c>
      <c r="H86" s="4">
        <f t="shared" si="16"/>
        <v>619.678899082569</v>
      </c>
      <c r="I86" s="4">
        <f t="shared" si="17"/>
        <v>675.45</v>
      </c>
      <c r="J86" s="4">
        <f t="shared" si="14"/>
        <v>3.5</v>
      </c>
      <c r="K86" s="4">
        <f t="shared" si="18"/>
        <v>525.35</v>
      </c>
      <c r="L86" s="3"/>
      <c r="M86" s="3"/>
      <c r="N86" s="3"/>
    </row>
    <row r="87" ht="85.5" spans="1:14">
      <c r="A87" s="3">
        <v>96</v>
      </c>
      <c r="B87" s="13">
        <v>45922</v>
      </c>
      <c r="C87" s="3" t="s">
        <v>96</v>
      </c>
      <c r="D87" s="3" cm="1">
        <f t="array" ref="D87">SUM(VALUE(SUBSTITUTE(_xlfn.TEXTAFTER(_xlfn.TEXTSPLIT(C87,CHAR(10)),"-",-1),"km","")))</f>
        <v>201</v>
      </c>
      <c r="E87" s="3">
        <f>189+3.6+39+45</f>
        <v>276.6</v>
      </c>
      <c r="F87" s="4">
        <f t="shared" si="15"/>
        <v>3.94495412844037</v>
      </c>
      <c r="G87" s="4">
        <f t="shared" si="13"/>
        <v>4.3</v>
      </c>
      <c r="H87" s="4">
        <f t="shared" si="16"/>
        <v>792.935779816514</v>
      </c>
      <c r="I87" s="4">
        <f t="shared" si="17"/>
        <v>864.3</v>
      </c>
      <c r="J87" s="4">
        <f t="shared" si="14"/>
        <v>3.5</v>
      </c>
      <c r="K87" s="4">
        <f t="shared" si="18"/>
        <v>703.5</v>
      </c>
      <c r="L87" s="3"/>
      <c r="M87" s="3"/>
      <c r="N87" s="3"/>
    </row>
    <row r="88" ht="71.25" spans="1:14">
      <c r="A88" s="3">
        <v>97</v>
      </c>
      <c r="B88" s="13">
        <v>45922</v>
      </c>
      <c r="C88" s="3" t="s">
        <v>97</v>
      </c>
      <c r="D88" s="3" cm="1">
        <f t="array" ref="D88">SUM(VALUE(SUBSTITUTE(_xlfn.TEXTAFTER(_xlfn.TEXTSPLIT(C88,CHAR(10)),"-",-1),"km","")))</f>
        <v>220</v>
      </c>
      <c r="E88" s="3">
        <f>160+81</f>
        <v>241</v>
      </c>
      <c r="F88" s="4">
        <f t="shared" si="15"/>
        <v>3.94495412844037</v>
      </c>
      <c r="G88" s="4">
        <f t="shared" si="13"/>
        <v>4.3</v>
      </c>
      <c r="H88" s="4">
        <f t="shared" si="16"/>
        <v>867.889908256881</v>
      </c>
      <c r="I88" s="4">
        <f t="shared" si="17"/>
        <v>946</v>
      </c>
      <c r="J88" s="4">
        <f t="shared" si="14"/>
        <v>3.5</v>
      </c>
      <c r="K88" s="4">
        <f t="shared" si="18"/>
        <v>770</v>
      </c>
      <c r="L88" s="3"/>
      <c r="M88" s="3"/>
      <c r="N88" s="3"/>
    </row>
    <row r="89" ht="67.05" customHeight="1" spans="1:14">
      <c r="A89" s="3">
        <v>98</v>
      </c>
      <c r="B89" s="13">
        <v>45922</v>
      </c>
      <c r="C89" s="3" t="s">
        <v>98</v>
      </c>
      <c r="D89" s="3" cm="1">
        <f t="array" ref="D89">SUM(VALUE(SUBSTITUTE(_xlfn.TEXTAFTER(_xlfn.TEXTSPLIT(C89,CHAR(10)),"-",-1),"km","")))</f>
        <v>135</v>
      </c>
      <c r="E89" s="3">
        <f>171+34+43</f>
        <v>248</v>
      </c>
      <c r="F89" s="4">
        <f t="shared" si="15"/>
        <v>4.12844036697248</v>
      </c>
      <c r="G89" s="4">
        <f t="shared" si="13"/>
        <v>4.5</v>
      </c>
      <c r="H89" s="4">
        <f t="shared" si="16"/>
        <v>557.339449541284</v>
      </c>
      <c r="I89" s="4">
        <f t="shared" si="17"/>
        <v>607.5</v>
      </c>
      <c r="J89" s="4">
        <f t="shared" si="14"/>
        <v>3.5</v>
      </c>
      <c r="K89" s="4">
        <f t="shared" si="18"/>
        <v>472.5</v>
      </c>
      <c r="L89" s="3"/>
      <c r="M89" s="3"/>
      <c r="N89" s="3"/>
    </row>
    <row r="90" ht="114" spans="1:14">
      <c r="A90" s="3">
        <v>99</v>
      </c>
      <c r="B90" s="13">
        <v>45922</v>
      </c>
      <c r="C90" s="3" t="s">
        <v>99</v>
      </c>
      <c r="D90" s="3" cm="1">
        <f t="array" ref="D90">SUM(VALUE(SUBSTITUTE(_xlfn.TEXTAFTER(_xlfn.TEXTSPLIT(C90,CHAR(10)),"-",-1),"km","")))</f>
        <v>231.6</v>
      </c>
      <c r="E90" s="3">
        <f>180+17+59+47</f>
        <v>303</v>
      </c>
      <c r="F90" s="4">
        <f t="shared" si="15"/>
        <v>3.94495412844037</v>
      </c>
      <c r="G90" s="4">
        <f t="shared" si="13"/>
        <v>4.3</v>
      </c>
      <c r="H90" s="4">
        <f t="shared" si="16"/>
        <v>913.651376146789</v>
      </c>
      <c r="I90" s="4">
        <f t="shared" si="17"/>
        <v>995.88</v>
      </c>
      <c r="J90" s="4">
        <f t="shared" si="14"/>
        <v>3.5</v>
      </c>
      <c r="K90" s="4">
        <f t="shared" si="18"/>
        <v>810.6</v>
      </c>
      <c r="L90" s="3"/>
      <c r="M90" s="3"/>
      <c r="N90" s="3"/>
    </row>
    <row r="91" ht="114" spans="1:14">
      <c r="A91" s="3"/>
      <c r="B91" s="13">
        <v>45922</v>
      </c>
      <c r="C91" s="3" t="s">
        <v>100</v>
      </c>
      <c r="D91" s="3" cm="1">
        <f t="array" ref="D91">SUM(VALUE(SUBSTITUTE(_xlfn.TEXTAFTER(_xlfn.TEXTSPLIT(C91,CHAR(10)),"-",-1),"km","")))</f>
        <v>161.8</v>
      </c>
      <c r="E91" s="3"/>
      <c r="F91" s="4">
        <f t="shared" si="15"/>
        <v>4.12844036697248</v>
      </c>
      <c r="G91" s="4">
        <f t="shared" si="13"/>
        <v>4.5</v>
      </c>
      <c r="H91" s="4">
        <f t="shared" si="16"/>
        <v>667.981651376147</v>
      </c>
      <c r="I91" s="4">
        <f t="shared" si="17"/>
        <v>728.1</v>
      </c>
      <c r="J91" s="4">
        <f t="shared" si="14"/>
        <v>3.5</v>
      </c>
      <c r="K91" s="4">
        <f t="shared" si="18"/>
        <v>566.3</v>
      </c>
      <c r="L91" s="3"/>
      <c r="M91" s="3"/>
      <c r="N91" s="3"/>
    </row>
    <row r="92" ht="28.5" spans="1:14">
      <c r="A92" s="3">
        <v>101</v>
      </c>
      <c r="B92" s="13">
        <v>45923</v>
      </c>
      <c r="C92" s="3" t="s">
        <v>101</v>
      </c>
      <c r="D92" s="3" cm="1">
        <f t="array" ref="D92">SUM(VALUE(SUBSTITUTE(_xlfn.TEXTAFTER(_xlfn.TEXTSPLIT(C92,CHAR(10)),"-",-1),"km","")))</f>
        <v>234</v>
      </c>
      <c r="E92" s="3">
        <f>86+10+12+10</f>
        <v>118</v>
      </c>
      <c r="F92" s="4">
        <f t="shared" si="15"/>
        <v>3.94495412844037</v>
      </c>
      <c r="G92" s="4">
        <f t="shared" si="13"/>
        <v>4.3</v>
      </c>
      <c r="H92" s="4">
        <f t="shared" si="16"/>
        <v>923.119266055046</v>
      </c>
      <c r="I92" s="4">
        <f t="shared" si="17"/>
        <v>1006.2</v>
      </c>
      <c r="J92" s="4">
        <f t="shared" si="14"/>
        <v>3.5</v>
      </c>
      <c r="K92" s="4">
        <f t="shared" si="18"/>
        <v>819</v>
      </c>
      <c r="L92" s="3"/>
      <c r="M92" s="3"/>
      <c r="N92" s="3"/>
    </row>
    <row r="93" ht="64.05" customHeight="1" spans="1:14">
      <c r="A93" s="3">
        <v>102</v>
      </c>
      <c r="B93" s="13">
        <v>45923</v>
      </c>
      <c r="C93" s="3" t="s">
        <v>102</v>
      </c>
      <c r="D93" s="3" cm="1">
        <f t="array" ref="D93">SUM(VALUE(SUBSTITUTE(_xlfn.TEXTAFTER(_xlfn.TEXTSPLIT(C93,CHAR(10)),"-",-1),"km","")))</f>
        <v>245.8</v>
      </c>
      <c r="E93" s="3">
        <f>42+74+65+17</f>
        <v>198</v>
      </c>
      <c r="F93" s="4">
        <f t="shared" si="15"/>
        <v>3.94495412844037</v>
      </c>
      <c r="G93" s="4">
        <f t="shared" si="13"/>
        <v>4.3</v>
      </c>
      <c r="H93" s="4">
        <f t="shared" si="16"/>
        <v>969.669724770642</v>
      </c>
      <c r="I93" s="4">
        <f t="shared" si="17"/>
        <v>1056.94</v>
      </c>
      <c r="J93" s="4">
        <f t="shared" si="14"/>
        <v>3.5</v>
      </c>
      <c r="K93" s="4">
        <f t="shared" si="18"/>
        <v>860.3</v>
      </c>
      <c r="L93" s="3"/>
      <c r="M93" s="3"/>
      <c r="N93" s="3"/>
    </row>
    <row r="94" ht="57" spans="1:14">
      <c r="A94" s="3">
        <v>103</v>
      </c>
      <c r="B94" s="13">
        <v>45923</v>
      </c>
      <c r="C94" s="3" t="s">
        <v>103</v>
      </c>
      <c r="D94" s="3" cm="1">
        <f t="array" ref="D94">SUM(VALUE(SUBSTITUTE(_xlfn.TEXTAFTER(_xlfn.TEXTSPLIT(C94,CHAR(10)),"-",-1),"km","")))</f>
        <v>188</v>
      </c>
      <c r="E94" s="3">
        <f>42+74+65+17</f>
        <v>198</v>
      </c>
      <c r="F94" s="4">
        <f t="shared" si="15"/>
        <v>4.12844036697248</v>
      </c>
      <c r="G94" s="4">
        <f t="shared" si="13"/>
        <v>4.5</v>
      </c>
      <c r="H94" s="4">
        <f t="shared" si="16"/>
        <v>776.146788990826</v>
      </c>
      <c r="I94" s="4">
        <f t="shared" si="17"/>
        <v>846</v>
      </c>
      <c r="J94" s="4">
        <f t="shared" si="14"/>
        <v>3.5</v>
      </c>
      <c r="K94" s="4">
        <f t="shared" si="18"/>
        <v>658</v>
      </c>
      <c r="L94" s="3"/>
      <c r="M94" s="3"/>
      <c r="N94" s="3"/>
    </row>
    <row r="95" ht="85.5" spans="1:14">
      <c r="A95" s="3">
        <v>104</v>
      </c>
      <c r="B95" s="13">
        <v>45923</v>
      </c>
      <c r="C95" s="3" t="s">
        <v>104</v>
      </c>
      <c r="D95" s="3" cm="1">
        <f t="array" ref="D95">SUM(VALUE(SUBSTITUTE(_xlfn.TEXTAFTER(_xlfn.TEXTSPLIT(C95,CHAR(10)),"-",-1),"km","")))</f>
        <v>475</v>
      </c>
      <c r="E95" s="3">
        <f>42+74+65+17</f>
        <v>198</v>
      </c>
      <c r="F95" s="4">
        <f t="shared" si="15"/>
        <v>3.76146788990826</v>
      </c>
      <c r="G95" s="4">
        <f t="shared" si="13"/>
        <v>4.1</v>
      </c>
      <c r="H95" s="4">
        <f t="shared" si="16"/>
        <v>1786.69724770642</v>
      </c>
      <c r="I95" s="4">
        <f t="shared" si="17"/>
        <v>1947.5</v>
      </c>
      <c r="J95" s="4">
        <f t="shared" si="14"/>
        <v>3.2</v>
      </c>
      <c r="K95" s="4">
        <f t="shared" si="18"/>
        <v>1520</v>
      </c>
      <c r="L95" s="3"/>
      <c r="M95" s="3"/>
      <c r="N95" s="3"/>
    </row>
    <row r="96" ht="99.75" spans="1:14">
      <c r="A96" s="3">
        <v>106</v>
      </c>
      <c r="B96" s="13">
        <v>45923</v>
      </c>
      <c r="C96" s="3" t="s">
        <v>105</v>
      </c>
      <c r="D96" s="3" cm="1">
        <f t="array" ref="D96">SUM(VALUE(SUBSTITUTE(_xlfn.TEXTAFTER(_xlfn.TEXTSPLIT(C96,CHAR(10)),"-",-1),"km","")))</f>
        <v>638</v>
      </c>
      <c r="E96" s="3">
        <f>98+55+74+3.6+39+50</f>
        <v>319.6</v>
      </c>
      <c r="F96" s="4">
        <f t="shared" ref="F96:F130" si="19">G96/1.09</f>
        <v>3.76146788990826</v>
      </c>
      <c r="G96" s="4">
        <f t="shared" si="13"/>
        <v>4.1</v>
      </c>
      <c r="H96" s="4">
        <f t="shared" ref="H96:H115" si="20">D96*F96</f>
        <v>2399.81651376147</v>
      </c>
      <c r="I96" s="4">
        <f t="shared" ref="I96:I115" si="21">D96*G96</f>
        <v>2615.8</v>
      </c>
      <c r="J96" s="4">
        <f t="shared" si="14"/>
        <v>3.2</v>
      </c>
      <c r="K96" s="4">
        <f t="shared" ref="K96:K115" si="22">D96*J96</f>
        <v>2041.6</v>
      </c>
      <c r="L96" s="3"/>
      <c r="M96" s="3"/>
      <c r="N96" s="3"/>
    </row>
    <row r="97" ht="57" spans="1:14">
      <c r="A97" s="3">
        <v>107</v>
      </c>
      <c r="B97" s="14">
        <v>45923</v>
      </c>
      <c r="C97" s="3" t="s">
        <v>106</v>
      </c>
      <c r="D97" s="3" cm="1">
        <f t="array" ref="D97">SUM(VALUE(SUBSTITUTE(_xlfn.TEXTAFTER(_xlfn.TEXTSPLIT(C97,CHAR(10)),"-",-1),"km","")))</f>
        <v>316</v>
      </c>
      <c r="E97" s="3">
        <f>180+16+9.5+59+47</f>
        <v>311.5</v>
      </c>
      <c r="F97" s="4">
        <f t="shared" si="19"/>
        <v>3.76146788990826</v>
      </c>
      <c r="G97" s="4">
        <f t="shared" si="13"/>
        <v>4.1</v>
      </c>
      <c r="H97" s="4">
        <f t="shared" si="20"/>
        <v>1188.62385321101</v>
      </c>
      <c r="I97" s="4">
        <f t="shared" si="21"/>
        <v>1295.6</v>
      </c>
      <c r="J97" s="4">
        <f t="shared" si="14"/>
        <v>3.2</v>
      </c>
      <c r="K97" s="4">
        <f t="shared" si="22"/>
        <v>1011.2</v>
      </c>
      <c r="L97" s="3"/>
      <c r="M97" s="3"/>
      <c r="N97" s="3"/>
    </row>
    <row r="98" ht="88.05" customHeight="1" spans="1:14">
      <c r="A98" s="3">
        <v>108</v>
      </c>
      <c r="B98" s="14">
        <v>45924</v>
      </c>
      <c r="C98" s="3" t="s">
        <v>107</v>
      </c>
      <c r="D98" s="3" cm="1">
        <f t="array" ref="D98">SUM(VALUE(SUBSTITUTE(_xlfn.TEXTAFTER(_xlfn.TEXTSPLIT(C98,CHAR(10)),"-",-1),"km","")))</f>
        <v>283</v>
      </c>
      <c r="E98" s="3">
        <f>120+109+53+32</f>
        <v>314</v>
      </c>
      <c r="F98" s="4">
        <f t="shared" si="19"/>
        <v>3.94495412844037</v>
      </c>
      <c r="G98" s="4">
        <f t="shared" si="13"/>
        <v>4.3</v>
      </c>
      <c r="H98" s="4">
        <f t="shared" si="20"/>
        <v>1116.42201834862</v>
      </c>
      <c r="I98" s="4">
        <f t="shared" si="21"/>
        <v>1216.9</v>
      </c>
      <c r="J98" s="4">
        <f t="shared" si="14"/>
        <v>3.5</v>
      </c>
      <c r="K98" s="4">
        <f t="shared" si="22"/>
        <v>990.5</v>
      </c>
      <c r="L98" s="3"/>
      <c r="M98" s="3"/>
      <c r="N98" s="3"/>
    </row>
    <row r="99" ht="71.25" spans="1:14">
      <c r="A99" s="3">
        <v>109</v>
      </c>
      <c r="B99" s="14">
        <v>45924</v>
      </c>
      <c r="C99" s="3" t="s">
        <v>108</v>
      </c>
      <c r="D99" s="3" cm="1">
        <f t="array" ref="D99">SUM(VALUE(SUBSTITUTE(_xlfn.TEXTAFTER(_xlfn.TEXTSPLIT(C99,CHAR(10)),"-",-1),"km","")))</f>
        <v>221.8</v>
      </c>
      <c r="E99" s="3">
        <f>169+1.5+39+17+4.6</f>
        <v>231.1</v>
      </c>
      <c r="F99" s="4">
        <f t="shared" si="19"/>
        <v>3.94495412844037</v>
      </c>
      <c r="G99" s="4">
        <f t="shared" si="13"/>
        <v>4.3</v>
      </c>
      <c r="H99" s="4">
        <f t="shared" si="20"/>
        <v>874.990825688073</v>
      </c>
      <c r="I99" s="4">
        <f t="shared" si="21"/>
        <v>953.74</v>
      </c>
      <c r="J99" s="4">
        <f t="shared" si="14"/>
        <v>3.5</v>
      </c>
      <c r="K99" s="4">
        <f t="shared" si="22"/>
        <v>776.3</v>
      </c>
      <c r="L99" s="3"/>
      <c r="M99" s="3"/>
      <c r="N99" s="3"/>
    </row>
    <row r="100" ht="128.25" spans="1:14">
      <c r="A100" s="3">
        <v>110</v>
      </c>
      <c r="B100" s="14">
        <v>45924</v>
      </c>
      <c r="C100" s="3" t="s">
        <v>109</v>
      </c>
      <c r="D100" s="3" cm="1">
        <f t="array" ref="D100">SUM(VALUE(SUBSTITUTE(_xlfn.TEXTAFTER(_xlfn.TEXTSPLIT(C100,CHAR(10)),"-",-1),"km","")))</f>
        <v>277.2</v>
      </c>
      <c r="E100" s="3">
        <f t="shared" ref="E100:E115" si="23">35+67+10+12+10+6</f>
        <v>140</v>
      </c>
      <c r="F100" s="4">
        <f t="shared" si="19"/>
        <v>3.94495412844037</v>
      </c>
      <c r="G100" s="4">
        <f t="shared" si="13"/>
        <v>4.3</v>
      </c>
      <c r="H100" s="4">
        <f t="shared" si="20"/>
        <v>1093.54128440367</v>
      </c>
      <c r="I100" s="4">
        <f t="shared" si="21"/>
        <v>1191.96</v>
      </c>
      <c r="J100" s="4">
        <f t="shared" si="14"/>
        <v>3.5</v>
      </c>
      <c r="K100" s="4">
        <f t="shared" si="22"/>
        <v>970.2</v>
      </c>
      <c r="L100" s="3"/>
      <c r="M100" s="3"/>
      <c r="N100" s="3"/>
    </row>
    <row r="101" ht="57" spans="1:14">
      <c r="A101" s="3">
        <v>111</v>
      </c>
      <c r="B101" s="14">
        <v>45924</v>
      </c>
      <c r="C101" s="3" t="s">
        <v>110</v>
      </c>
      <c r="D101" s="3" cm="1">
        <f t="array" ref="D101">SUM(VALUE(SUBSTITUTE(_xlfn.TEXTAFTER(_xlfn.TEXTSPLIT(C101,CHAR(10)),"-",-1),"km","")))</f>
        <v>240</v>
      </c>
      <c r="E101" s="3">
        <f t="shared" si="23"/>
        <v>140</v>
      </c>
      <c r="F101" s="4">
        <f t="shared" si="19"/>
        <v>3.94495412844037</v>
      </c>
      <c r="G101" s="4">
        <f t="shared" si="13"/>
        <v>4.3</v>
      </c>
      <c r="H101" s="4">
        <f t="shared" si="20"/>
        <v>946.788990825688</v>
      </c>
      <c r="I101" s="4">
        <f t="shared" si="21"/>
        <v>1032</v>
      </c>
      <c r="J101" s="4">
        <f t="shared" si="14"/>
        <v>3.5</v>
      </c>
      <c r="K101" s="4">
        <f t="shared" si="22"/>
        <v>840</v>
      </c>
      <c r="L101" s="3"/>
      <c r="M101" s="3"/>
      <c r="N101" s="3"/>
    </row>
    <row r="102" ht="71.25" spans="1:14">
      <c r="A102" s="3">
        <v>112</v>
      </c>
      <c r="B102" s="14">
        <v>45924</v>
      </c>
      <c r="C102" s="3" t="s">
        <v>111</v>
      </c>
      <c r="D102" s="3" cm="1">
        <f t="array" ref="D102">SUM(VALUE(SUBSTITUTE(_xlfn.TEXTAFTER(_xlfn.TEXTSPLIT(C102,CHAR(10)),"-",-1),"km","")))</f>
        <v>113</v>
      </c>
      <c r="E102" s="3">
        <f t="shared" si="23"/>
        <v>140</v>
      </c>
      <c r="F102" s="4">
        <f t="shared" si="19"/>
        <v>4.12844036697248</v>
      </c>
      <c r="G102" s="4">
        <f t="shared" si="13"/>
        <v>4.5</v>
      </c>
      <c r="H102" s="4">
        <f t="shared" si="20"/>
        <v>466.51376146789</v>
      </c>
      <c r="I102" s="4">
        <f t="shared" si="21"/>
        <v>508.5</v>
      </c>
      <c r="J102" s="4">
        <f t="shared" si="14"/>
        <v>3.5</v>
      </c>
      <c r="K102" s="4">
        <f t="shared" si="22"/>
        <v>395.5</v>
      </c>
      <c r="L102" s="3"/>
      <c r="M102" s="3"/>
      <c r="N102" s="3"/>
    </row>
    <row r="103" ht="71.25" spans="1:14">
      <c r="A103" s="3">
        <v>113</v>
      </c>
      <c r="B103" s="14">
        <v>45925</v>
      </c>
      <c r="C103" s="3" t="s">
        <v>112</v>
      </c>
      <c r="D103" s="3" cm="1">
        <f t="array" ref="D103">SUM(VALUE(SUBSTITUTE(_xlfn.TEXTAFTER(_xlfn.TEXTSPLIT(C103,CHAR(10)),"-",-1),"km","")))</f>
        <v>348</v>
      </c>
      <c r="E103" s="3">
        <f t="shared" si="23"/>
        <v>140</v>
      </c>
      <c r="F103" s="4">
        <f t="shared" si="19"/>
        <v>3.76146788990826</v>
      </c>
      <c r="G103" s="4">
        <f t="shared" si="13"/>
        <v>4.1</v>
      </c>
      <c r="H103" s="4">
        <f t="shared" si="20"/>
        <v>1308.99082568807</v>
      </c>
      <c r="I103" s="4">
        <f t="shared" si="21"/>
        <v>1426.8</v>
      </c>
      <c r="J103" s="4">
        <f t="shared" si="14"/>
        <v>3.2</v>
      </c>
      <c r="K103" s="4">
        <f t="shared" si="22"/>
        <v>1113.6</v>
      </c>
      <c r="L103" s="3"/>
      <c r="M103" s="3"/>
      <c r="N103" s="3"/>
    </row>
    <row r="104" ht="57" spans="1:14">
      <c r="A104" s="3">
        <v>114</v>
      </c>
      <c r="B104" s="14">
        <v>45925</v>
      </c>
      <c r="C104" s="3" t="s">
        <v>113</v>
      </c>
      <c r="D104" s="3" cm="1">
        <f t="array" ref="D104">SUM(VALUE(SUBSTITUTE(_xlfn.TEXTAFTER(_xlfn.TEXTSPLIT(C104,CHAR(10)),"-",-1),"km","")))</f>
        <v>231</v>
      </c>
      <c r="E104" s="3">
        <f t="shared" si="23"/>
        <v>140</v>
      </c>
      <c r="F104" s="4">
        <f t="shared" si="19"/>
        <v>3.94495412844037</v>
      </c>
      <c r="G104" s="4">
        <f t="shared" si="13"/>
        <v>4.3</v>
      </c>
      <c r="H104" s="4">
        <f t="shared" si="20"/>
        <v>911.284403669725</v>
      </c>
      <c r="I104" s="4">
        <f t="shared" si="21"/>
        <v>993.3</v>
      </c>
      <c r="J104" s="4">
        <f t="shared" si="14"/>
        <v>3.5</v>
      </c>
      <c r="K104" s="4">
        <f t="shared" si="22"/>
        <v>808.5</v>
      </c>
      <c r="L104" s="3"/>
      <c r="M104" s="3"/>
      <c r="N104" s="3"/>
    </row>
    <row r="105" ht="99.75" spans="1:14">
      <c r="A105" s="3">
        <v>115</v>
      </c>
      <c r="B105" s="14">
        <v>45925</v>
      </c>
      <c r="C105" s="3" t="s">
        <v>114</v>
      </c>
      <c r="D105" s="3" cm="1">
        <f t="array" ref="D105">SUM(VALUE(SUBSTITUTE(_xlfn.TEXTAFTER(_xlfn.TEXTSPLIT(C105,CHAR(10)),"-",-1),"km","")))</f>
        <v>346.1</v>
      </c>
      <c r="E105" s="3">
        <f t="shared" si="23"/>
        <v>140</v>
      </c>
      <c r="F105" s="4">
        <f t="shared" si="19"/>
        <v>3.76146788990826</v>
      </c>
      <c r="G105" s="4">
        <f t="shared" si="13"/>
        <v>4.1</v>
      </c>
      <c r="H105" s="4">
        <f t="shared" si="20"/>
        <v>1301.84403669725</v>
      </c>
      <c r="I105" s="4">
        <f t="shared" si="21"/>
        <v>1419.01</v>
      </c>
      <c r="J105" s="4">
        <f t="shared" si="14"/>
        <v>3.2</v>
      </c>
      <c r="K105" s="4">
        <f t="shared" si="22"/>
        <v>1107.52</v>
      </c>
      <c r="L105" s="3"/>
      <c r="M105" s="3"/>
      <c r="N105" s="3"/>
    </row>
    <row r="106" ht="114" spans="1:14">
      <c r="A106" s="3">
        <v>116</v>
      </c>
      <c r="B106" s="14">
        <v>45925</v>
      </c>
      <c r="C106" s="3" t="s">
        <v>115</v>
      </c>
      <c r="D106" s="3" cm="1">
        <f t="array" ref="D106">SUM(VALUE(SUBSTITUTE(_xlfn.TEXTAFTER(_xlfn.TEXTSPLIT(C106,CHAR(10)),"-",-1),"km","")))</f>
        <v>808</v>
      </c>
      <c r="E106" s="3">
        <f t="shared" si="23"/>
        <v>140</v>
      </c>
      <c r="F106" s="4">
        <f t="shared" si="19"/>
        <v>3.76146788990826</v>
      </c>
      <c r="G106" s="4">
        <f t="shared" si="13"/>
        <v>4.1</v>
      </c>
      <c r="H106" s="4">
        <f t="shared" si="20"/>
        <v>3039.26605504587</v>
      </c>
      <c r="I106" s="4">
        <f t="shared" si="21"/>
        <v>3312.8</v>
      </c>
      <c r="J106" s="4">
        <f t="shared" si="14"/>
        <v>3.2</v>
      </c>
      <c r="K106" s="4">
        <f t="shared" si="22"/>
        <v>2585.6</v>
      </c>
      <c r="L106" s="3"/>
      <c r="M106" s="3"/>
      <c r="N106" s="3"/>
    </row>
    <row r="107" ht="85.5" spans="1:14">
      <c r="A107" s="3">
        <v>117</v>
      </c>
      <c r="B107" s="14">
        <v>45926</v>
      </c>
      <c r="C107" s="3" t="s">
        <v>116</v>
      </c>
      <c r="D107" s="3" cm="1">
        <f t="array" ref="D107">SUM(VALUE(SUBSTITUTE(_xlfn.TEXTAFTER(_xlfn.TEXTSPLIT(C107,CHAR(10)),"-",-1),"km","")))</f>
        <v>246</v>
      </c>
      <c r="E107" s="3">
        <f t="shared" si="23"/>
        <v>140</v>
      </c>
      <c r="F107" s="4">
        <f t="shared" si="19"/>
        <v>3.94495412844037</v>
      </c>
      <c r="G107" s="4">
        <f t="shared" si="13"/>
        <v>4.3</v>
      </c>
      <c r="H107" s="4">
        <f t="shared" si="20"/>
        <v>970.45871559633</v>
      </c>
      <c r="I107" s="4">
        <f t="shared" si="21"/>
        <v>1057.8</v>
      </c>
      <c r="J107" s="4">
        <f t="shared" ref="J107:J130" si="24">IF(D107&gt;=301,3.2,IF(D107&gt;=201,3.5,IF(D107&gt;=101,3.5,"")))</f>
        <v>3.5</v>
      </c>
      <c r="K107" s="4">
        <f t="shared" si="22"/>
        <v>861</v>
      </c>
      <c r="L107" s="3"/>
      <c r="M107" s="3"/>
      <c r="N107" s="3"/>
    </row>
    <row r="108" ht="57" spans="1:14">
      <c r="A108" s="3">
        <v>118</v>
      </c>
      <c r="B108" s="14">
        <v>45926</v>
      </c>
      <c r="C108" s="1" t="s">
        <v>117</v>
      </c>
      <c r="D108" s="3" cm="1">
        <f t="array" ref="D108">SUM(VALUE(SUBSTITUTE(_xlfn.TEXTAFTER(_xlfn.TEXTSPLIT(C108,CHAR(10)),"-",-1),"km","")))</f>
        <v>135.1</v>
      </c>
      <c r="E108" s="3">
        <f t="shared" si="23"/>
        <v>140</v>
      </c>
      <c r="F108" s="4">
        <f t="shared" si="19"/>
        <v>4.12844036697248</v>
      </c>
      <c r="G108" s="4">
        <f t="shared" si="13"/>
        <v>4.5</v>
      </c>
      <c r="H108" s="4">
        <f t="shared" si="20"/>
        <v>557.752293577982</v>
      </c>
      <c r="I108" s="4">
        <f t="shared" si="21"/>
        <v>607.95</v>
      </c>
      <c r="J108" s="4">
        <f t="shared" si="24"/>
        <v>3.5</v>
      </c>
      <c r="K108" s="4">
        <f t="shared" si="22"/>
        <v>472.85</v>
      </c>
      <c r="L108" s="3"/>
      <c r="M108" s="3"/>
      <c r="N108" s="3"/>
    </row>
    <row r="109" ht="85.5" spans="1:14">
      <c r="A109" s="3">
        <v>119</v>
      </c>
      <c r="B109" s="14">
        <v>45926</v>
      </c>
      <c r="C109" s="3" t="s">
        <v>118</v>
      </c>
      <c r="D109" s="3" cm="1">
        <f t="array" ref="D109">SUM(VALUE(SUBSTITUTE(_xlfn.TEXTAFTER(_xlfn.TEXTSPLIT(C109,CHAR(10)),"-",-1),"km","")))</f>
        <v>377</v>
      </c>
      <c r="E109" s="3">
        <f t="shared" si="23"/>
        <v>140</v>
      </c>
      <c r="F109" s="4">
        <f t="shared" si="19"/>
        <v>3.76146788990826</v>
      </c>
      <c r="G109" s="4">
        <f t="shared" ref="G109:G118" si="25">IF(D109&gt;=301,4.1,IF(D109&gt;=201,4.3,IF(D109&gt;=101,4.5,"")))</f>
        <v>4.1</v>
      </c>
      <c r="H109" s="4">
        <f t="shared" si="20"/>
        <v>1418.07339449541</v>
      </c>
      <c r="I109" s="4">
        <f t="shared" si="21"/>
        <v>1545.7</v>
      </c>
      <c r="J109" s="4">
        <f t="shared" si="24"/>
        <v>3.2</v>
      </c>
      <c r="K109" s="4">
        <f t="shared" si="22"/>
        <v>1206.4</v>
      </c>
      <c r="L109" s="3"/>
      <c r="M109" s="3"/>
      <c r="N109" s="3"/>
    </row>
    <row r="110" ht="85.5" spans="1:14">
      <c r="A110" s="3">
        <v>120</v>
      </c>
      <c r="B110" s="14">
        <v>45926</v>
      </c>
      <c r="C110" s="3" t="s">
        <v>119</v>
      </c>
      <c r="D110" s="3" cm="1">
        <f t="array" ref="D110">SUM(VALUE(SUBSTITUTE(_xlfn.TEXTAFTER(_xlfn.TEXTSPLIT(C110,CHAR(10)),"-",-1),"km","")))</f>
        <v>214.8</v>
      </c>
      <c r="E110" s="3">
        <f t="shared" si="23"/>
        <v>140</v>
      </c>
      <c r="F110" s="4">
        <f t="shared" si="19"/>
        <v>3.94495412844037</v>
      </c>
      <c r="G110" s="4">
        <f t="shared" si="25"/>
        <v>4.3</v>
      </c>
      <c r="H110" s="4">
        <f t="shared" si="20"/>
        <v>847.376146788991</v>
      </c>
      <c r="I110" s="4">
        <f t="shared" si="21"/>
        <v>923.64</v>
      </c>
      <c r="J110" s="4">
        <f t="shared" si="24"/>
        <v>3.5</v>
      </c>
      <c r="K110" s="4">
        <f t="shared" si="22"/>
        <v>751.8</v>
      </c>
      <c r="L110" s="3"/>
      <c r="M110" s="3"/>
      <c r="N110" s="3"/>
    </row>
    <row r="111" ht="99.75" spans="1:14">
      <c r="A111" s="3">
        <v>121</v>
      </c>
      <c r="B111" s="14">
        <v>45927</v>
      </c>
      <c r="C111" s="3" t="s">
        <v>120</v>
      </c>
      <c r="D111" s="3" cm="1">
        <f t="array" ref="D111">SUM(VALUE(SUBSTITUTE(_xlfn.TEXTAFTER(_xlfn.TEXTSPLIT(C111,CHAR(10)),"-",-1),"km","")))</f>
        <v>470</v>
      </c>
      <c r="E111" s="3">
        <f t="shared" si="23"/>
        <v>140</v>
      </c>
      <c r="F111" s="4">
        <f t="shared" si="19"/>
        <v>3.76146788990826</v>
      </c>
      <c r="G111" s="4">
        <f t="shared" si="25"/>
        <v>4.1</v>
      </c>
      <c r="H111" s="4">
        <f t="shared" si="20"/>
        <v>1767.88990825688</v>
      </c>
      <c r="I111" s="4">
        <f t="shared" si="21"/>
        <v>1927</v>
      </c>
      <c r="J111" s="4">
        <f t="shared" si="24"/>
        <v>3.2</v>
      </c>
      <c r="K111" s="4">
        <f t="shared" si="22"/>
        <v>1504</v>
      </c>
      <c r="L111" s="3"/>
      <c r="M111" s="3"/>
      <c r="N111" s="3"/>
    </row>
    <row r="112" ht="128.25" spans="1:14">
      <c r="A112" s="3">
        <v>122</v>
      </c>
      <c r="B112" s="14">
        <v>45927</v>
      </c>
      <c r="C112" s="3" t="s">
        <v>121</v>
      </c>
      <c r="D112" s="3" cm="1">
        <f t="array" ref="D112">SUM(VALUE(SUBSTITUTE(_xlfn.TEXTAFTER(_xlfn.TEXTSPLIT(C112,CHAR(10)),"-",-1),"km","")))</f>
        <v>691.7</v>
      </c>
      <c r="E112" s="3">
        <f t="shared" si="23"/>
        <v>140</v>
      </c>
      <c r="F112" s="4">
        <f t="shared" si="19"/>
        <v>3.76146788990826</v>
      </c>
      <c r="G112" s="4">
        <f t="shared" si="25"/>
        <v>4.1</v>
      </c>
      <c r="H112" s="4">
        <f t="shared" si="20"/>
        <v>2601.80733944954</v>
      </c>
      <c r="I112" s="4">
        <f t="shared" si="21"/>
        <v>2835.97</v>
      </c>
      <c r="J112" s="4">
        <f t="shared" si="24"/>
        <v>3.2</v>
      </c>
      <c r="K112" s="4">
        <f t="shared" si="22"/>
        <v>2213.44</v>
      </c>
      <c r="L112" s="3"/>
      <c r="M112" s="3"/>
      <c r="N112" s="3"/>
    </row>
    <row r="113" ht="114" spans="1:14">
      <c r="A113" s="3">
        <v>123</v>
      </c>
      <c r="B113" s="14">
        <v>45927</v>
      </c>
      <c r="C113" s="3" t="s">
        <v>122</v>
      </c>
      <c r="D113" s="3" cm="1">
        <f t="array" ref="D113">SUM(VALUE(SUBSTITUTE(_xlfn.TEXTAFTER(_xlfn.TEXTSPLIT(C113,CHAR(10)),"-",-1),"km","")))</f>
        <v>349.4</v>
      </c>
      <c r="E113" s="3">
        <f t="shared" si="23"/>
        <v>140</v>
      </c>
      <c r="F113" s="4">
        <f t="shared" si="19"/>
        <v>3.76146788990826</v>
      </c>
      <c r="G113" s="4">
        <f t="shared" si="25"/>
        <v>4.1</v>
      </c>
      <c r="H113" s="4">
        <f t="shared" si="20"/>
        <v>1314.25688073394</v>
      </c>
      <c r="I113" s="4">
        <f t="shared" si="21"/>
        <v>1432.54</v>
      </c>
      <c r="J113" s="4">
        <f t="shared" si="24"/>
        <v>3.2</v>
      </c>
      <c r="K113" s="4">
        <f t="shared" si="22"/>
        <v>1118.08</v>
      </c>
      <c r="L113" s="3"/>
      <c r="M113" s="3"/>
      <c r="N113" s="3"/>
    </row>
    <row r="114" ht="99.75" spans="1:14">
      <c r="A114" s="3">
        <v>124</v>
      </c>
      <c r="B114" s="14">
        <v>45928</v>
      </c>
      <c r="C114" s="3" t="s">
        <v>123</v>
      </c>
      <c r="D114" s="3" cm="1">
        <f t="array" ref="D114">SUM(VALUE(SUBSTITUTE(_xlfn.TEXTAFTER(_xlfn.TEXTSPLIT(C114,CHAR(10)),"-",-1),"km","")))</f>
        <v>248.2</v>
      </c>
      <c r="E114" s="3">
        <f t="shared" si="23"/>
        <v>140</v>
      </c>
      <c r="F114" s="4">
        <f t="shared" si="19"/>
        <v>3.94495412844037</v>
      </c>
      <c r="G114" s="4">
        <f t="shared" si="25"/>
        <v>4.3</v>
      </c>
      <c r="H114" s="4">
        <f t="shared" si="20"/>
        <v>979.137614678899</v>
      </c>
      <c r="I114" s="4">
        <f t="shared" si="21"/>
        <v>1067.26</v>
      </c>
      <c r="J114" s="4">
        <f t="shared" si="24"/>
        <v>3.5</v>
      </c>
      <c r="K114" s="4">
        <f t="shared" si="22"/>
        <v>868.7</v>
      </c>
      <c r="L114" s="3"/>
      <c r="M114" s="3"/>
      <c r="N114" s="3"/>
    </row>
    <row r="115" ht="114" spans="1:14">
      <c r="A115" s="3">
        <v>125</v>
      </c>
      <c r="B115" s="14">
        <v>45928</v>
      </c>
      <c r="C115" s="3" t="s">
        <v>124</v>
      </c>
      <c r="D115" s="3" cm="1">
        <f t="array" ref="D115">SUM(VALUE(SUBSTITUTE(_xlfn.TEXTAFTER(_xlfn.TEXTSPLIT(C115,CHAR(10)),"-",-1),"km","")))</f>
        <v>253</v>
      </c>
      <c r="E115" s="3">
        <f t="shared" si="23"/>
        <v>140</v>
      </c>
      <c r="F115" s="4">
        <f t="shared" si="19"/>
        <v>3.94495412844037</v>
      </c>
      <c r="G115" s="4">
        <f t="shared" si="25"/>
        <v>4.3</v>
      </c>
      <c r="H115" s="4">
        <f t="shared" si="20"/>
        <v>998.073394495413</v>
      </c>
      <c r="I115" s="4">
        <f t="shared" si="21"/>
        <v>1087.9</v>
      </c>
      <c r="J115" s="4">
        <f t="shared" si="24"/>
        <v>3.5</v>
      </c>
      <c r="K115" s="4">
        <f t="shared" si="22"/>
        <v>885.5</v>
      </c>
      <c r="L115" s="3"/>
      <c r="M115" s="3"/>
      <c r="N115" s="3"/>
    </row>
    <row r="116" ht="71.25" spans="1:14">
      <c r="A116" s="3">
        <v>126</v>
      </c>
      <c r="B116" s="8">
        <v>45929</v>
      </c>
      <c r="C116" s="3" t="s">
        <v>125</v>
      </c>
      <c r="D116" s="3" cm="1">
        <f t="array" ref="D116">SUM(VALUE(SUBSTITUTE(_xlfn.TEXTAFTER(_xlfn.TEXTSPLIT(C116,CHAR(10)),"-",-1),"km","")))</f>
        <v>224</v>
      </c>
      <c r="E116" s="3">
        <f t="shared" ref="E116:E130" si="26">35+67+10+12+10+6</f>
        <v>140</v>
      </c>
      <c r="F116" s="4">
        <f t="shared" si="19"/>
        <v>3.94495412844037</v>
      </c>
      <c r="G116" s="4">
        <f t="shared" si="25"/>
        <v>4.3</v>
      </c>
      <c r="H116" s="4">
        <f t="shared" ref="H116:H130" si="27">D116*F116</f>
        <v>883.669724770642</v>
      </c>
      <c r="I116" s="4">
        <f t="shared" ref="I116:I130" si="28">D116*G116</f>
        <v>963.2</v>
      </c>
      <c r="J116" s="4">
        <f t="shared" si="24"/>
        <v>3.5</v>
      </c>
      <c r="K116" s="4">
        <f t="shared" ref="K116:K130" si="29">D116*J116</f>
        <v>784</v>
      </c>
      <c r="L116" s="3"/>
      <c r="M116" s="3"/>
      <c r="N116" s="3"/>
    </row>
    <row r="117" ht="71.25" spans="1:14">
      <c r="A117" s="3">
        <v>127</v>
      </c>
      <c r="B117" s="8">
        <v>45929</v>
      </c>
      <c r="C117" s="3" t="s">
        <v>126</v>
      </c>
      <c r="D117" s="3" cm="1">
        <f t="array" ref="D117">SUM(VALUE(SUBSTITUTE(_xlfn.TEXTAFTER(_xlfn.TEXTSPLIT(C117,CHAR(10)),"-",-1),"km","")))</f>
        <v>239</v>
      </c>
      <c r="E117" s="3">
        <f t="shared" si="26"/>
        <v>140</v>
      </c>
      <c r="F117" s="4">
        <f t="shared" si="19"/>
        <v>3.94495412844037</v>
      </c>
      <c r="G117" s="4">
        <f t="shared" si="25"/>
        <v>4.3</v>
      </c>
      <c r="H117" s="4">
        <f t="shared" si="27"/>
        <v>942.844036697248</v>
      </c>
      <c r="I117" s="4">
        <f t="shared" si="28"/>
        <v>1027.7</v>
      </c>
      <c r="J117" s="4">
        <f t="shared" si="24"/>
        <v>3.5</v>
      </c>
      <c r="K117" s="4">
        <f t="shared" si="29"/>
        <v>836.5</v>
      </c>
      <c r="L117" s="3"/>
      <c r="M117" s="3"/>
      <c r="N117" s="3"/>
    </row>
    <row r="118" ht="114" spans="1:14">
      <c r="A118" s="3">
        <v>128</v>
      </c>
      <c r="B118" s="8">
        <v>45929</v>
      </c>
      <c r="C118" s="3" t="s">
        <v>127</v>
      </c>
      <c r="D118" s="3" cm="1">
        <f t="array" ref="D118">SUM(VALUE(SUBSTITUTE(_xlfn.TEXTAFTER(_xlfn.TEXTSPLIT(C118,CHAR(10)),"-",-1),"km","")))</f>
        <v>212.3</v>
      </c>
      <c r="E118" s="3">
        <f t="shared" si="26"/>
        <v>140</v>
      </c>
      <c r="F118" s="4">
        <f t="shared" si="19"/>
        <v>3.94495412844037</v>
      </c>
      <c r="G118" s="4">
        <f t="shared" si="25"/>
        <v>4.3</v>
      </c>
      <c r="H118" s="4">
        <f t="shared" si="27"/>
        <v>837.51376146789</v>
      </c>
      <c r="I118" s="4">
        <f t="shared" si="28"/>
        <v>912.89</v>
      </c>
      <c r="J118" s="4">
        <f t="shared" si="24"/>
        <v>3.5</v>
      </c>
      <c r="K118" s="4">
        <f t="shared" si="29"/>
        <v>743.05</v>
      </c>
      <c r="L118" s="3"/>
      <c r="M118" s="3"/>
      <c r="N118" s="3"/>
    </row>
    <row r="119" ht="71.25" spans="1:14">
      <c r="A119" s="3">
        <v>129</v>
      </c>
      <c r="B119" s="8">
        <v>45930</v>
      </c>
      <c r="C119" s="3" t="s">
        <v>128</v>
      </c>
      <c r="D119" s="3" cm="1">
        <f t="array" ref="D119">SUM(VALUE(SUBSTITUTE(_xlfn.TEXTAFTER(_xlfn.TEXTSPLIT(C119,CHAR(10)),"-",-1),"km","")))</f>
        <v>413</v>
      </c>
      <c r="E119" s="3">
        <f t="shared" si="26"/>
        <v>140</v>
      </c>
      <c r="F119" s="4">
        <f t="shared" si="19"/>
        <v>3.76146788990826</v>
      </c>
      <c r="G119" s="4">
        <f>IF(D119&gt;=301,4.1,IF(D119&gt;=201,4.3,IF(D119&gt;=101,4.5,"")))</f>
        <v>4.1</v>
      </c>
      <c r="H119" s="4">
        <f t="shared" si="27"/>
        <v>1553.48623853211</v>
      </c>
      <c r="I119" s="4">
        <f t="shared" si="28"/>
        <v>1693.3</v>
      </c>
      <c r="J119" s="4">
        <f t="shared" si="24"/>
        <v>3.2</v>
      </c>
      <c r="K119" s="4">
        <f t="shared" si="29"/>
        <v>1321.6</v>
      </c>
      <c r="L119" s="3"/>
      <c r="M119" s="3"/>
      <c r="N119" s="3"/>
    </row>
    <row r="120" ht="57" spans="1:14">
      <c r="A120" s="3">
        <v>130</v>
      </c>
      <c r="B120" s="8">
        <v>45930</v>
      </c>
      <c r="C120" s="3" t="s">
        <v>129</v>
      </c>
      <c r="D120" s="3" cm="1">
        <f t="array" ref="D120">SUM(VALUE(SUBSTITUTE(_xlfn.TEXTAFTER(_xlfn.TEXTSPLIT(C120,CHAR(10)),"-",-1),"km","")))</f>
        <v>311.4</v>
      </c>
      <c r="E120" s="3">
        <f t="shared" si="26"/>
        <v>140</v>
      </c>
      <c r="F120" s="4">
        <f t="shared" si="19"/>
        <v>3.76146788990826</v>
      </c>
      <c r="G120" s="4">
        <f>IF(D120&gt;=301,4.1,IF(D120&gt;=201,4.3,IF(D120&gt;=101,4.5,"")))</f>
        <v>4.1</v>
      </c>
      <c r="H120" s="4">
        <f t="shared" si="27"/>
        <v>1171.32110091743</v>
      </c>
      <c r="I120" s="4">
        <f t="shared" si="28"/>
        <v>1276.74</v>
      </c>
      <c r="J120" s="4">
        <f t="shared" si="24"/>
        <v>3.2</v>
      </c>
      <c r="K120" s="4">
        <f t="shared" si="29"/>
        <v>996.48</v>
      </c>
      <c r="L120" s="3"/>
      <c r="M120" s="3"/>
      <c r="N120" s="3"/>
    </row>
    <row r="121" ht="57" spans="1:14">
      <c r="A121" s="3">
        <v>131</v>
      </c>
      <c r="B121" s="8">
        <v>45930</v>
      </c>
      <c r="C121" s="3" t="s">
        <v>130</v>
      </c>
      <c r="D121" s="3" cm="1">
        <f t="array" ref="D121">SUM(VALUE(SUBSTITUTE(_xlfn.TEXTAFTER(_xlfn.TEXTSPLIT(C121,CHAR(10)),"-",-1),"km","")))</f>
        <v>341</v>
      </c>
      <c r="E121" s="3">
        <f t="shared" si="26"/>
        <v>140</v>
      </c>
      <c r="F121" s="4">
        <f t="shared" si="19"/>
        <v>3.76146788990826</v>
      </c>
      <c r="G121" s="4">
        <f>IF(D121&gt;=301,4.1,IF(D121&gt;=201,4.3,IF(D121&gt;=101,4.5,"")))</f>
        <v>4.1</v>
      </c>
      <c r="H121" s="4">
        <f t="shared" si="27"/>
        <v>1282.66055045872</v>
      </c>
      <c r="I121" s="4">
        <f t="shared" si="28"/>
        <v>1398.1</v>
      </c>
      <c r="J121" s="4">
        <f t="shared" si="24"/>
        <v>3.2</v>
      </c>
      <c r="K121" s="4">
        <f t="shared" si="29"/>
        <v>1091.2</v>
      </c>
      <c r="L121" s="3"/>
      <c r="M121" s="3"/>
      <c r="N121" s="3"/>
    </row>
    <row r="122" ht="71.25" spans="1:14">
      <c r="A122" s="3">
        <v>132</v>
      </c>
      <c r="B122" s="8">
        <v>45930</v>
      </c>
      <c r="C122" s="3" t="s">
        <v>131</v>
      </c>
      <c r="D122" s="3" cm="1">
        <f t="array" ref="D122">SUM(VALUE(SUBSTITUTE(_xlfn.TEXTAFTER(_xlfn.TEXTSPLIT(C122,CHAR(10)),"-",-1),"km","")))</f>
        <v>178.8</v>
      </c>
      <c r="E122" s="3">
        <f t="shared" si="26"/>
        <v>140</v>
      </c>
      <c r="F122" s="4">
        <f t="shared" si="19"/>
        <v>4.12844036697248</v>
      </c>
      <c r="G122" s="4">
        <f>IF(D122&gt;=301,4.1,IF(D122&gt;=201,4.3,IF(D122&gt;=101,4.5,"")))</f>
        <v>4.5</v>
      </c>
      <c r="H122" s="4">
        <f t="shared" si="27"/>
        <v>738.165137614679</v>
      </c>
      <c r="I122" s="4">
        <f t="shared" si="28"/>
        <v>804.6</v>
      </c>
      <c r="J122" s="4">
        <f t="shared" si="24"/>
        <v>3.5</v>
      </c>
      <c r="K122" s="4">
        <f t="shared" si="29"/>
        <v>625.8</v>
      </c>
      <c r="L122" s="3"/>
      <c r="M122" s="3"/>
      <c r="N122" s="3"/>
    </row>
    <row r="123" ht="114" spans="1:14">
      <c r="A123" s="3">
        <v>133</v>
      </c>
      <c r="B123" s="8">
        <v>45930</v>
      </c>
      <c r="C123" s="3" t="s">
        <v>132</v>
      </c>
      <c r="D123" s="3" cm="1">
        <f t="array" ref="D123">SUM(VALUE(SUBSTITUTE(_xlfn.TEXTAFTER(_xlfn.TEXTSPLIT(C123,CHAR(10)),"-",-1),"km","")))</f>
        <v>921</v>
      </c>
      <c r="E123" s="3">
        <f t="shared" si="26"/>
        <v>140</v>
      </c>
      <c r="F123" s="4">
        <f t="shared" si="19"/>
        <v>3.76146788990826</v>
      </c>
      <c r="G123" s="4">
        <f>IF(D123&gt;=301,4.1,IF(D123&gt;=201,4.3,IF(D123&gt;=101,4.5,"")))</f>
        <v>4.1</v>
      </c>
      <c r="H123" s="4">
        <f t="shared" si="27"/>
        <v>3464.3119266055</v>
      </c>
      <c r="I123" s="4">
        <f t="shared" si="28"/>
        <v>3776.1</v>
      </c>
      <c r="J123" s="4">
        <f t="shared" si="24"/>
        <v>3.2</v>
      </c>
      <c r="K123" s="4">
        <f t="shared" si="29"/>
        <v>2947.2</v>
      </c>
      <c r="L123" s="3"/>
      <c r="M123" s="3"/>
      <c r="N123" s="3"/>
    </row>
  </sheetData>
  <autoFilter xmlns:etc="http://www.wps.cn/officeDocument/2017/etCustomData" ref="A1:R123" etc:filterBottomFollowUsedRange="0">
    <extLst/>
  </autoFilter>
  <mergeCells count="20">
    <mergeCell ref="B2:B4"/>
    <mergeCell ref="B5:B9"/>
    <mergeCell ref="B10:B12"/>
    <mergeCell ref="B13:B16"/>
    <mergeCell ref="B17:B19"/>
    <mergeCell ref="B20:B23"/>
    <mergeCell ref="B24:B25"/>
    <mergeCell ref="B26:B29"/>
    <mergeCell ref="B30:B34"/>
    <mergeCell ref="B35:B37"/>
    <mergeCell ref="B38:B41"/>
    <mergeCell ref="B42:B44"/>
    <mergeCell ref="B45:B49"/>
    <mergeCell ref="B50:B51"/>
    <mergeCell ref="B52:B57"/>
    <mergeCell ref="B58:B63"/>
    <mergeCell ref="B64:B68"/>
    <mergeCell ref="B69:B73"/>
    <mergeCell ref="B74:B77"/>
    <mergeCell ref="B78:B8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2025-07-01T12:54:00Z</dcterms:created>
  <dcterms:modified xsi:type="dcterms:W3CDTF">2025-09-30T14:53:38Z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C265781552574DD78AD12955C53DF51D_13</vt:lpwstr>
  </property>
  <property fmtid="{D5CDD505-2E9C-101B-9397-08002B2CF9AE}" pid="3" name="KSOProductBuildVer">
    <vt:lpwstr>2052-12.1.0.22529</vt:lpwstr>
  </property>
</Properties>
</file>