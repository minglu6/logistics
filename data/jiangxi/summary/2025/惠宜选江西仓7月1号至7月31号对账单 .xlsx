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 " sheetId="1" r:id="rId1"/>
  </sheets>
  <definedNames>
    <definedName name="_xlnm._FilterDatabase" localSheetId="0" hidden="1">'Sheet1 '!$A$1:$S$101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<sst xmlns="http://schemas.openxmlformats.org/spreadsheetml/2006/main" count="141" uniqueCount="128">
  <si>
    <t>序号</t>
  </si>
  <si>
    <t>日期</t>
  </si>
  <si>
    <t>店名</t>
  </si>
  <si>
    <t>公里数-刘曼曼A</t>
  </si>
  <si>
    <t>接收到的资料-B</t>
  </si>
  <si>
    <t>公里差异（A-B）</t>
  </si>
  <si>
    <t>不含税单价</t>
  </si>
  <si>
    <t>含税单价</t>
  </si>
  <si>
    <t>不含税合价（运费）</t>
  </si>
  <si>
    <t>含税合价（运费）</t>
  </si>
  <si>
    <t>司机单价</t>
  </si>
  <si>
    <t>司机价格</t>
  </si>
  <si>
    <t>司机姓名</t>
  </si>
  <si>
    <t>照片</t>
  </si>
  <si>
    <t>备注</t>
  </si>
  <si>
    <t>共橙一站式超市（德兴滨河大道店）-235km
 惠宜选-江西上饶市婺源店-61km</t>
  </si>
  <si>
    <t>共橙一站式超市（抚州金巢大道店）-120km
共橙一站式超市（抚州玉茗路店）-9km 
共橙一站式超市（崇仁站前路店）-34km
共橙一站式超市（抚州乐安大道店）-60km
共橙一站式超市（南城登高路店）-132km 
共橙一站式超市（南丰南广路店）-45km
共橙一站式超市（黎川杏林路店）-56km</t>
  </si>
  <si>
    <t>共橙一站式超市（新干县金川大道店)-120km
共橙一站式超市（吉水万里大道店）-65km
共橙一站式超市（吉安青原大道店）-20km
共橙一站式超市（吉安县赣江大道店）-15km
共橙一站式超市（泰和澄江大道店）-29km
共橙一站式超市（永新湘赣大道店）-90km
共橙一站式超市（遂川川江南路店）-125km</t>
  </si>
  <si>
    <t>共橙一站式超市(瑞昌赤乌大道店)-156km
惠宜选-九江市柴桑店-39km
共橙-站式超市(九江八里湖大道店)-16km
共橙-站式超市(九江花溪路店)-6.4km
共橙一站式超市(湖口渊明路店)-34km</t>
  </si>
  <si>
    <t>接收资料填在7.3号，2车</t>
  </si>
  <si>
    <t>共橙一站式超市(鄱阳锦宇大道店)-161km
共橙一站式超市(景德镇紫晶路店)-83km
共橙一站式超市(浮梁县新昌北路店)-24km
惠宜选-江西上饶市婺源店-75km</t>
  </si>
  <si>
    <t>许涛</t>
  </si>
  <si>
    <t>共橙一站式超市(进贤昌盛路店)-78km
共橙一站式超市(余干县世纪大道店)-85km
共橙一站式超市(万年建德大街店) -44km
共橙一站式超市(德兴滨河大道店)-86km</t>
  </si>
  <si>
    <t>刘绥高</t>
  </si>
  <si>
    <t>共橙一站式超市(南昌长富大道店)-20km
共橙一站式超市(抚州金巢大道店) -130km   
共橙一站式超市(抚州玉茗路店) -8.9km
共橙一站式超市(崇仁站前路店)-34km
共橙一站式超市(抚州乐安大道店)-60km
共橙一站式超市(南城登高路店)-132km
共橙一站式超市(南丰南广路店)-44km 
共橙一站式超市(黎川杏林路店)-56km</t>
  </si>
  <si>
    <t>李长生</t>
  </si>
  <si>
    <t>惠宜选超市（弋阳县梅山路店）-207km</t>
  </si>
  <si>
    <t>共橙一站式超市（南昌迎宾中大道店）-41km</t>
  </si>
  <si>
    <t>共橙一站式超市(永修建昌大道店)-59km
共橙-站式超市(共青城南湖大道店)-36km
共橙-站式超市(德安宝塔大道店)-11km
共橙一站式超市(庐山玉帘路店)-46km
厉臣-九江市都昌东风大道店-48km</t>
  </si>
  <si>
    <t>邹油咀</t>
  </si>
  <si>
    <t>共橙一站式超市(南昌京东大道店)-60km
共橙一站式超市(贵溪雄石东路店)-175km</t>
  </si>
  <si>
    <t>共橙一站式超市(南昌解放西路店)-46km
共橙-站式超市(丰城紫云南大道店)-78km
共橙-站式超市(樟树药都路店)-40km
共橙-站式超市(新余抱石大道店)-77km
共橙一站式超市(新余市青年路店)-5.5km
共橙-站式超市(分宜县天工南大道店)-27km</t>
  </si>
  <si>
    <t>梅官平</t>
  </si>
  <si>
    <t>共橙一站式超市(鄱阳锦宇大道店)-161km
共橙-站式超市(景德镇紫晶路店)-83km
共橙-站式超市(浮梁县新昌北路店)-19km
惠宜选-江西上饶市婺源店-75km</t>
  </si>
  <si>
    <t>共橙-站式超市(进贤昌盛路店)-78km
共橙-站式超市(余干县世纪大道店)-85km
共橙-站式超市(万年建德大街店)-44km
共橙-站式超市(德兴滨河大道店)-86km
共橙-站式超市(玉山三清大道店)-95km</t>
  </si>
  <si>
    <t>共橙-站式超市(吉水万里大道店)-217km
共橙-站式超市(吉安青原大道店)-20km
共橙一站式超市(吉安县赣江大道店)-15km
共橙一站式超市(泰和澄江大道店)-29km
共橙-站式超市(永新湘赣大道店)-87km
共橙-站式超市(遂川川江南路店)-124km</t>
  </si>
  <si>
    <t>共橙一站式超市（南昌小洲路店）-36km</t>
  </si>
  <si>
    <t>共橙超市-南昌东湖店-46km
惠宜选超市(高安沿江中路店)-81km
厉臣-宜春市上高店-55km
共橙-站式超市(宜丰县新昌中路店)-24km
共橙一站式超市(万载县康乐大道店)-58km
共橙一站式超市(宜春文体路店)-45km
惠宜选-江西宜春中山西路店-5.6km</t>
  </si>
  <si>
    <t>共橙-站式超市(南昌招贤大道店)-16km
共橙一站式超市(南昌解放西路店)-56km
共橙一站式超市(高安瑞阳大道店)-82km</t>
  </si>
  <si>
    <t>共橙一站式超市(抚州金巢大道店)-117km
共橙一站式超市(抚州迎宾大道店)-3.5km
共橙一站式超市(南城登高路店)-57km
共橙一站式超市(南丰南广路店)-44km
共橙一站式超市( 黎川杏林路店)-55km</t>
  </si>
  <si>
    <t>共橙超市（南昌长富大道店）-20km
共橙一站式超市(丰城紫云南大道店)-73km
共橙一站式超市(樟树药都路店)-28km</t>
  </si>
  <si>
    <t>与收到的资料，第一站不同</t>
  </si>
  <si>
    <t>共橙一站式超市(南昌京东大道店)-60km
共橙一站式超市(南昌解放西路店)-9.9km
共橙一站式超市(进贤昌盛路店)-58km</t>
  </si>
  <si>
    <t>共橙一站式超市(万载县康乐大道店)-156km
共橙一站式超市(宜春文体路店)-45km
惠宜选-江西宜春中山西路店-5km
惠宜选-萍乡金三角店-62km
惠宜选超市(萍乡萍安中大道店)-5.8km</t>
  </si>
  <si>
    <t>共橙一站式超市(新余抱石大道店)-146km
共橙一站式超市(新余市青年路店)-5.5km
共橙一站式超市(分宜县天工南大道店)-28km</t>
  </si>
  <si>
    <t>共橙一站式超市(南昌明月山大道店)-7.7km
共橙一站式超市(南昌招贤大道店)-13km
共橙一站式超市(安义学府大道店)-39km</t>
  </si>
  <si>
    <t>共橙一站式超市(抚州金巢大道店)-117km
共橙一站式超市(抚州迎宾大道店)-3.4km
共橙一站式超市(抚州玉茗路店)-6.4km
共橙一站式超市(崇仁站前路店)-34km
共橙一站式超市(抚州乐安大道店)-60km
共橙一站式超市(南城登高路店)-133km
共橙一站式超市(南丰南广路店)-44km
共橙一站式超市(黎川杏林路店)-56km</t>
  </si>
  <si>
    <t>共橙一站式超市(吉安青原大道店)-218km
共橙一站式超市(吉安县赣江大道店)-15km
共橙一站式超市(永新湘赣大道店)-84km
共橙一站式超市(泰和澄江大道店) -91km
共橙一站式超市(遂川川江南路店)-76km</t>
  </si>
  <si>
    <t>共橙一站式超市(景德镇紫晶路店)-223km
共橙一站式超市(景德镇翠云路店)-10km
共橙一站式超市(浮梁县新昌北路店)-16km
惠宜选-江西上饶市婺源店-75km</t>
  </si>
  <si>
    <t>共橙一站式超市(南昌京东大道店)-60km
共橙一站式超市(南昌解放西路店)-9.9km
共橙一站式超市(进贤昌盛路店)-58km
共橙一站式超市(余干县世纪大道店)-87km
共橙一站式超市(鹰潭五洲路店)-68km</t>
  </si>
  <si>
    <t>最后一车距离差距较大</t>
  </si>
  <si>
    <t>共橙一站式超市(南昌明月山大道店)-7.7km 
共橙一站式超市(南昌招贤大道店)-13km
共橙一站式超市(丰城紫云南大道店)-71km
共橙一站式超市(樟树药都路店)-40km</t>
  </si>
  <si>
    <t>第一车和最后一车有差距</t>
  </si>
  <si>
    <t>共橙一站式超市(新余抱石大道店)-146km
共橙一站式超市(新余市青年路店)-5.5km
共橙一站式超市(分宜县天工南大道店)-28km
共橙一站式超市(万载县康乐大道店)-51km
共橙一站式超市(宜春文体路店)-45km
惠宜选-江西宜春中山西路店-5km
惠宜选-萍乡金三角店-62km
惠宜选超市(萍乡萍安中大道店)-4.6km</t>
  </si>
  <si>
    <t>共橙一站式超市(抚州金巢大道店)-117km
共橙一站式超市(抚州迎宾大道店)-6.7km
共橙一站式超市(抚州玉茗路店)-33km
共橙一站式超市(崇仁站前路店)-34km
共橙一站式超市(抚州乐安大道店)-60km
共橙一站式超市(南城登高路店)-133km
共橙一站式超市(南丰南广路店)-44km
共橙一站式超市(黎川杏林路店)-56km</t>
  </si>
  <si>
    <t>共橙一站式超市(南昌东祥路店)-32km
共橙一站式超市(吉水万里大道店)-218km
共橙一站式超市(泰和澄江大道店)-62km
共橙一站式超市(永新湘赣大道店)-89km
共橙一站式超市(遂川川江南路店)-125km</t>
  </si>
  <si>
    <t>第二车差距较大</t>
  </si>
  <si>
    <t>共橙一站式超市(永修建昌大道店)-59km
共橙一站式超市(共青城南湖大道店)-36km
共橙一站式超市(德安宝塔大道店)-11km
共橙一站式超市(庐山玉帘路店)-47km
厉臣-九江市都昌东风大道店-48km</t>
  </si>
  <si>
    <t>共橙一站式超市(瑞昌赤乌大道店)-156km
惠宜选-九江市柴桑店-39km
共橙一站式超市(九江八里湖大道店)-16km
共橙一站式超市(九江花溪路店)-6.4km
共橙一站式超市(湖口渊明路店)-34km</t>
  </si>
  <si>
    <t>共橙一站式超市(南昌明月山大道店)-7.7km
共橙一站式超市(南昌长富大道店)-12km
共橙一站式超市(南昌解放西路店)-57km
共橙一站式超市(南昌京东大道店)-9.5km
共橙一站式超市(安义学府大道店)-77km</t>
  </si>
  <si>
    <t>第三车差距较大</t>
  </si>
  <si>
    <t>共橙一站式超市(南昌明月山大道店)-7.7km
共橙超市-南昌东湖店-45km
共橙一站式超市(南昌京东大道店)-9.1km
共橙一站式超市(南昌解放西路店)-9.8km
惠宜选超市(南昌莲西大道店)-13km
共橙一站式超市(进贤昌盛路店)-58km</t>
  </si>
  <si>
    <t>第二车和最后一车差距大</t>
  </si>
  <si>
    <t>共橙一站式超市（于都杨公路店）-362km</t>
  </si>
  <si>
    <t>群里没说此地几车，按收到的表格补充的</t>
  </si>
  <si>
    <t>共橙-站式超市(瑞昌赤乌大道店)-156km
惠宜选-九江市柴桑店-39km
共橙一站式超市(九江八里湖大道店)-16km
共橙-站式超市(九江花溪路店)-6.4km
共橙一站式超市(湖口渊明路店)-34km</t>
  </si>
  <si>
    <t>共橙-站式超市(南昌招贤大道店)-16km
共橙一站式超市(共青城南湖大道店)-73km
共橙-站式超市(德安宝塔大道店)-11km
共橙一站式超市(庐山玉帘路店)-46km
厉臣-九江市都昌东风大道店-48km
共橙一站式超市(景德镇翠云路店)-124km</t>
  </si>
  <si>
    <t>共橙-站式超市(鄱阳锦宇大道店)-161km
共橙一站式超市(景德镇紫晶路店)-83km
共橙-站式超市(浮梁县新昌北路店)-24km</t>
  </si>
  <si>
    <t>共橙一站式超市(南昌长富大道店)-20km
共橙一站式超市(万年建德大街店)-157km
共橙-站式超市(铅山狮江大道店)-88km</t>
  </si>
  <si>
    <t>共橙一站式超市(东乡求学路店)-116km
共橙一站式超市(南城登高路店)-108km
共橙-站式超市(南丰南广路店)-44km
共橙-站式超市(黎川杏林路店)-55km</t>
  </si>
  <si>
    <t>共橙一站式超市(南昌招贤大道店)-16km
共橙-站式超市(南昌解放西路店)-55km
共橙-站式超市(高安瑞阳大道店)-79km
惠宜选超市(高安沿江中路店)-3km</t>
  </si>
  <si>
    <t>共橙-站式超市(安义学府大道店)-42km
惠宜选-九江市柴桑店-111km
共橙一站式超市(瑞昌赤乌大道店)-35km
共橙一站式超市(九江八里湖大道店)-47km
共橙一站式超市(九江花溪路店)-6.4km
共橙一站式超市(湖口渊明路店)-34km</t>
  </si>
  <si>
    <t>共橙-站式超市(奉新县迎宾大道店)-45km
共橙一站式超市(宜丰县新昌中路店)-92km
厉臣-宜春市上高店-28km
共橙一站式超市(万载县康乐大道店)-58km
共橙一站式超市(宜春文体路店)-45km
惠宜选江西宜春中山西路店-5km
惠宜选-萍乡金三角店-62km
惠宜选超市-(萍乡萍安中大道店)-4.6km</t>
  </si>
  <si>
    <t>共橙-站式超市(南昌长富大道店)-20km
共橙超市-南昌东湖店-56km
共橙-站式超市(东乡求学路店)-107km
共橙-站式超市(抚州金巢大道店)-52km
共橙一站式超市(抚州玉茗路店)-8.9km
共橙一站式超市(崇仁站前路店)-34km
共橙-站式超市(南丰南广路店)-104km
共橙一站式超市(黎川杏林路店)-55km</t>
  </si>
  <si>
    <t>共橙一站式超市(南昌京东大道店)-60km
共橙一-站式超市(共青城南湖大道店)-89km
共橙- -站式超市(瑞昌赤乌大道店)-76km</t>
  </si>
  <si>
    <t>共橙一站式超市(南昌京东大道店)-60km
共橙- -站式超市(永修建昌大道店)-61km
共橙一站式超市(德安宝塔大道店)-48km
共橙- -站式超市(庐山玉帘路店)-46km
厉臣-九江市都昌东风大道店-48km
共橙一站式超市( 景德镇翠云路店)-126km</t>
  </si>
  <si>
    <t>接收文件：此车第一站是永修建昌大道</t>
  </si>
  <si>
    <t>共橙一站式超市(丰城紫云南大道店)-68km
共橙一站式超市(樟树药都路店)-28km
共橙一站式超市(新余抱石大道店)-75km
共橙一站式超市(新余市青年路店)-5.5km</t>
  </si>
  <si>
    <t>共橙一站式超市(南昌解放西路店)-46km
惠宜选-九江市柴桑店-142km
共橙-站式超市(九江八里湖大道店)-16km
共橙-站式超市(九江花溪路店)-17km
共橙- -站式超市(湖口渊明路店)-6.4km</t>
  </si>
  <si>
    <t>共橙-站式超市(泰和澄江大道店)-252km
共橙-站式超市(永新湘赣大道店)-87km
共橙-站式超市(遂川川江南路店)-124km
共橙一站式超市(南康蓝田大道店)-91km</t>
  </si>
  <si>
    <t>共橙一站式超市(东乡求学路店)-116km
惠宜选-上饶吾悦广场店-146km
共橙超市-上饶胜利路店-7.3km
惠宜选-上饶广丰店-27km
共橙一站式超市(玉山三清大道店)-34km</t>
  </si>
  <si>
    <t>共橙一站式超市(抚州迎宾大道店)-123km
共橙-站式超市(抚州玉茗路店)-6.4km
共橙一站式超市(崇仁站前路店)-34km
共橙-站式超市(抚州乐安大道店)-60km
共橙-站式超市(吉水万里大道店)-85km
共橙-站式超市(吉安县赣江大道店)-33km</t>
  </si>
  <si>
    <t>共橙一站式超市（九江浔阳东路店）-150km</t>
  </si>
  <si>
    <t>共橙-站式超市(南昌明月山大道店)-7.7km
共橙一站式超市(南昌长富大道店)-13km
共橙超市-南昌东湖店-56km
共橙-站式超市(南昌京东大道店)-9.1km
共橙一站式超市(南昌解放西路店)-9.9km
共橙一站式超市(进贤昌盛路店)-58km</t>
  </si>
  <si>
    <t>第三车差距大</t>
  </si>
  <si>
    <t>共橙-站式超市(南昌明月山大道店)-7.7km
共橙-站式超市(高安瑞阳大道店)-13km
厉臣宜春市上高店-108km
共橙一站式超市(宜丰县新昌中路店)-24km
共橙一站式超市(万载县康乐大道店)-56km
共橙-站式超市(宜春文体路店)-43km
惠宜选-江西宜春中山西路店-5.6km</t>
  </si>
  <si>
    <t>接收资料：第一站是高安瑞阳大道</t>
  </si>
  <si>
    <t>共橙一站式超市（兴国县将军大道店）-319km</t>
  </si>
  <si>
    <t>共橙一站式超市（共青城南湖大道店）-89km
惠宜选-九江市修水店-160km</t>
  </si>
  <si>
    <t>根据接收资料补充，群里消息没有此项</t>
  </si>
  <si>
    <t>共橙一站式超市（南昌京东大道店)-60km
共橙一站式超市（庐山玉帘路店）-137km
厉臣-九江市都昌东风大道店-48km</t>
  </si>
  <si>
    <t>共橙一站式超市（南昌明月山大道店）-7.2km共橙一站式超市（德安宝塔大道店）-87km
共橙一站式超市(瑞昌赤乌大道店)-65km
惠宜选-九江市柴桑店-39km</t>
  </si>
  <si>
    <t>共橙-站式超市（九江八里湖大道店）-141km
共橙一站式超市（九江花溪路店）-6.4km
共橙一站式超市（湖口渊明路店）-32km</t>
  </si>
  <si>
    <t>共橙一站式超市(抚州迎宾大道店)-123km
共橙-站式超市(抚州玉茗路店)-6.4km
共橙-站式超市(南城登高路店)-61km
共橙-站式超市(南丰南广路店)-44km
共橙-站式超市(黎川杏林路店)-56km</t>
  </si>
  <si>
    <t>共橙一站式超市(东乡求学路店)-116km
共橙-站式超市(抚州金巢大道店)-52km
共橙-站式超市(崇仁站前路店)-42km
共橙-站式超市(抚州乐安大道店)-60km
共橙-站式超市(新干县金川大道店)-76km</t>
  </si>
  <si>
    <t>共橙超市-南昌东湖店-46km
共橙-站式超市(景德镇紫晶路店)-189km
共橙一站式超市(景德镇翠云路店)-10km
共橙-站式超市(浮梁县新昌北路店)-16km</t>
  </si>
  <si>
    <t>第二站差距大</t>
  </si>
  <si>
    <t>共橙一站式超市(余干县世纪大道店)-137km
共橙-站式超市(万年建德大街店)-44km</t>
  </si>
  <si>
    <t>共橙一站式超市（南昌经开区庐山南大道店）-26km</t>
  </si>
  <si>
    <t>共橙-站式超市(共青城南湖大道店)-90km
共橙-站式超市(庐山玉帘路店)-51km
厉臣-九江市都昌东风大道店-48km</t>
  </si>
  <si>
    <t>共橙一站式超市(南昌明月山大道店)-7.7km
共橙-站式超市(安义学府大道店)-42km
共橙一站式超市(永修建昌大道店)-38km
共橙- -站式超市(德安宝塔大道店)-45km
共橙-站式超市(瑞昌赤乌大道店)-68km</t>
  </si>
  <si>
    <t>共橙一站式超市(南昌明月山大道店)-7.7km
共橙-站式超市(奉新县迎宾大道店)-49km
共橙-站式超市(高安瑞阳大道店)-38km
惠宜选超市(高安沿江中路店)-3km</t>
  </si>
  <si>
    <t>共橙一站式超市(新干县金川大道店)-122km
共橙-站式超市(抚州乐安大道店)-73km
共橙-站式超市(崇仁站前路店)-60km
共橙一站式超市(抚州玉茗路店)-35km
共橙-站式超市(东乡求学路店)-67km
共橙-站式超市(鹰潭五洲路店)-46km
惠宜选超市(弋阳县梅山路店)-52km</t>
  </si>
  <si>
    <t>第一车差距较大</t>
  </si>
  <si>
    <t>共橙-站式超市(铅山狮江大道店)-232km
惠宜选-上饶吾悦广场店-33km
共橙超市-上饶胜利路店-7.1km
惠宜选-上饶广丰店-27km
共橙-站式超市(玉山三清大道店)-34km</t>
  </si>
  <si>
    <t>共橙一站式超市(南昌小洲路店)-36km
共橙一站式超市(余干县世纪大道店)-111km
共橙-站式超市(鄱阳锦宇大道店)-46km
共橙-站式超市(景德镇紫晶路店)-83km
共橙一站式超市(景德镇翠云路店)-10km
共橙-站式超市(浮梁县新昌北路店)-16km</t>
  </si>
  <si>
    <t>共橙一站式超市（安远腾飞路店）-456km</t>
  </si>
  <si>
    <t>共橙一站式超市(永修建昌大道店)-59km
惠宜选-九江市柴桑店-86km
共橙-站式超市(九江八里湖大道店)-16km
共橙一站式超市(九江花溪路店)-6.4km
共橙-站式超市(湖口渊明路店)-34km</t>
  </si>
  <si>
    <t>共橙-站式超市(安义学府大道店)-42km
共橙-站式超市(奉新县迎宾大道店)-31km
共橙-站式超市(宜丰县新昌中路店)-92km
厉臣-宜春市上高店-28km
共橙一站式超市(万载县康乐大道店)-58km
共橙-站式超市(宜春文体路店)-45km
惠宜选-江西宜春中山西路店-5km</t>
  </si>
  <si>
    <t>共橙一站式超市(南昌招贤大道店)-16km
共橙-站式超市(进贤昌盛路店)-87km
共橙一站式超市(贵溪雄石东路店)-105km</t>
  </si>
  <si>
    <t>共橙一站式超市(抚州金巢大道店)-117km
共橙一站式超市(抚州玉茗路店)-8.9km
共橙-站式超市(抚州迎宾大道店)-23km
共橙一站式超市(崇仁站前路店)-41km
共橙一站式超市(抚州乐安大道店)-60km
共橙一站式超市(南城登高路店)-133km
共橙一站式超市(南丰南广路店)-44km
共橙一站式超市(黎川杏林路店)-56km</t>
  </si>
  <si>
    <t>共橙一站式超市(南昌小洲路店)-36km
共橙-站式超市(南昌迎宾中大道店)-9.5km
共橙超市-南昌东湖店-19km
共橙-站式超市(鄱阳锦宇大道店)-116km
共橙一站式超市(景德镇紫晶路店)-83km
共橙一站式超市(景德镇翠云路店)-10km
共橙-站式超市(浮梁县新昌北路店)-16km</t>
  </si>
  <si>
    <t>共橙一站式超市(南昌小洲路店)-36km
惠宜选超市(弋阳县梅山路店)-197km
共橙一站式超市(铅山狮江大道店)-34km
惠宜选-上饶吾悦广场店-33km
共橙超市-上饶胜利路店-7.1km
惠宜选-上饶广丰店-27km
共橙-站式超市(玉山三清大道店)-34km</t>
  </si>
  <si>
    <t>接收资料：第一站是戈阳县梅山</t>
  </si>
  <si>
    <t>共橙-站式超市(南昌长富大道店)-20km
共橙-站式超市(高安瑞阳大道店)-55km
厉臣-宜春市上高店-54km
共橙-站式超市(宜丰县新昌中路店)-24km
共橙-站式超市(万载县康乐大道店)-59km
共橙-站式超市(宜春文体路店)-45km
惠宜选-江西宜春中山西路店-5.1km</t>
  </si>
  <si>
    <t>共橙-站式超市(高安瑞阳大道店)-41km
厉臣-宜春市上高店-54km
共橙一站式超市(宜丰县新昌中路店)-24km
共橙-站式超市(万载县康乐大道店)-56km
共橙-站式超市(分宜县天工南大道店)-53km
共橙一站式超市(宜春文体路店)-35km
惠宜选-江西宜春中山西路店-5km
惠宜选-萍乡金三角店-62km
惠宜选超市(萍乡萍安中大道店)-5.8km</t>
  </si>
  <si>
    <t>共橙-站式超市(共青城南湖大道店)-90km
共橙一站式超市(德安宝塔大道店)-11km
共橙一站式超市(庐山玉帘路店)-47km
厉臣-九江市都昌东风大道店-48km</t>
  </si>
  <si>
    <t>共橙一站式超市(南昌东祥路店)-32km
共橙-站式超市(南昌解放西路店)-17km
共橙一站式超市(南昌京东大道店)-9.4km
共橙-站式超市(进贤昌盛路店)-64km
共橙一站式超市(鹰潭五洲路店)-88km
共橙-站式超市(贵溪雄石东路店)-27km</t>
  </si>
  <si>
    <t>共橙一站式超市(铅山狮江大道店)-232km
惠宜选-上饶吾悦广场店-33km
共橙超市-上饶胜利路店-7.1km
惠宜选-上饶广丰店-27km
共橙一站式超市(玉山三清大道店)-34km</t>
  </si>
  <si>
    <t>共橙超市-南昌东湖店-46km
共橙一站式超市( 景德镇紫晶路店)-189km
共橙一站式超市( 景德镇翠云路店)-10km
共橙一站式超市(浮梁县新昌北路店)-16km</t>
  </si>
  <si>
    <t>共橙一站式超市(南昌长富大道店)-20km
共橙一站式超市(南昌小洲路店)-46km
共橙一站式超市(德兴滨河大道店)-210km
惠宜选-江西上饶市婺源店-66km</t>
  </si>
  <si>
    <t>共橙一站式超市(余干县世纪大道店)-137km
共橙一站式超市(鄱阳锦宇大道店)-46km
共橙一站式超市(万年建德大街店)-67km
惠宜选-超市(弋阳县梅山路店)-63km</t>
  </si>
  <si>
    <t>共橙一站式超市(安义学府大道店)-42km
共橙一站式超市(九江八里湖大道店)-119km 
共橙一站式超市(九江花溪路店)-6.4km
共橙一站式超市(九江浔阳东路店)-10km
共橙一站式超市(湖口渊明路店)-28km</t>
  </si>
  <si>
    <t>共橙一站式超市(安义学府大道店)-42km
共橙一站式超市(共青城南湖大道店)-67km
共橙一站式超市(德安宝塔大道店)-11km
共橙一站式超市(庐山玉帘路店)-46km
厉臣-九江市都昌东风大道店-48km</t>
  </si>
  <si>
    <t>共橙一站式超市(南昌东祥路店)-32km
共橙一站式超市(南昌解放西路店)-17km
共橙一站式超市(进贤昌盛路店)-58km
共橙一站式超市(鹰潭五洲路店)-88km
共橙一站式超市(贵溪雄石东路店)-27km</t>
  </si>
  <si>
    <t>共橙一站式超市( 景德镇紫晶路店)-223km
共橙一站式超市( 景德镇翠云路店)-10km
共橙一站式超市(浮梁县新昌北路店)-16km
惠宜选-江西上饶市婺源店-75km</t>
  </si>
  <si>
    <t>共橙一站式超市(南昌招贤大道店)-16km
共橙一站式超市(南昌长富大道店)-7.7km
共橙一站式超市(余干县世纪大道店)-123km
共橙一站式超市(鄱阳锦宇大道店)-46km
共橙一站式超市(万年建德大街店)-67km
共橙一站式超市(德兴滨河大道店)-86km</t>
  </si>
  <si>
    <t>共橙超市-南昌东湖店-46km
共橙一站式超市(南昌解放西路店)-9.2km
共橙一站式超市(进贤昌盛路店)-58km
共橙一站式超市(东乡求学路店)-41km
共橙一站式超市(抚州金巢大道店)-52km
共橙一站式超市(抚州迎宾大道店)-3.4km
共橙一站式超市(抚州玉茗路店)-6.4km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</si>
</sst>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8" applyNumberFormat="0" applyAlignment="0" applyProtection="0">
      <alignment vertical="center"/>
    </xf>
    <xf numFmtId="0" fontId="12" fillId="7" borderId="9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8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  <xf numFmtId="176" fontId="2" fillId="0" borderId="0" xfId="0" applyNumberFormat="1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58" fontId="2" fillId="0" borderId="2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58" fontId="2" fillId="0" borderId="3" xfId="0" applyNumberFormat="1" applyFont="1" applyBorder="1" applyAlignment="1">
      <alignment horizontal="center" vertical="center" wrapText="1"/>
    </xf>
    <xf numFmtId="58" fontId="2" fillId="0" borderId="4" xfId="0" applyNumberFormat="1" applyFont="1" applyBorder="1" applyAlignment="1">
      <alignment horizontal="center" vertical="center" wrapText="1"/>
    </xf>
    <xf numFmtId="58" fontId="2" fillId="0" borderId="3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  <xf numFmtId="176" fontId="2" fillId="0" borderId="4" xfId="0" applyNumberFormat="1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58" fontId="2" fillId="0" borderId="1" xfId="0" applyNumberFormat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76" fontId="2" fillId="0" borderId="4" xfId="0" applyNumberFormat="1" applyFont="1" applyBorder="1" applyAlignment="1">
      <alignment horizontal="center" vertical="center" wrapText="1"/>
    </xf>
    <xf numFmtId="58" fontId="2" fillId="0" borderId="1" xfId="0" applyNumberFormat="1" applyFont="1" applyBorder="1" applyAlignment="1">
      <alignment horizontal="center" vertical="center" wrapText="1"/>
    </xf>
    <xf numFmtId="58" fontId="2" fillId="0" borderId="1" xfId="0" applyNumberFormat="1" applyFont="1" applyFill="1" applyBorder="1" applyAlignment="1">
      <alignment horizontal="center" vertical="center" wrapText="1"/>
    </xf>
    <xf numFmtId="176" fontId="2" fillId="0" borderId="4" xfId="0" applyNumberFormat="1" applyFont="1" applyFill="1" applyBorder="1" applyAlignment="1">
      <alignment horizontal="center" vertical="center" wrapText="1"/>
    </xf>
    <xf numFmtId="58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58" fontId="2" fillId="0" borderId="2" xfId="0" applyNumberFormat="1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58" fontId="2" fillId="0" borderId="4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1"/>
  <sheetViews>
    <sheetView tabSelected="1" zoomScale="90" zoomScaleNormal="90" workbookViewId="0">
      <pane ySplit="1" topLeftCell="A51" activePane="bottomLeft" state="frozen"/>
      <selection/>
      <selection pane="bottomLeft" activeCell="C73" sqref="C73"/>
    </sheetView>
  </sheetViews>
  <sheetFormatPr defaultColWidth="15.625" defaultRowHeight="14.25"/>
  <cols>
    <col min="1" max="1" width="11.375" style="2" customWidth="1"/>
    <col min="2" max="2" width="11.125" style="2" customWidth="1"/>
    <col min="3" max="3" width="41.1416666666667" style="2" customWidth="1"/>
    <col min="4" max="4" width="18.5" style="2" customWidth="1"/>
    <col min="5" max="5" width="14.75" style="2" customWidth="1"/>
    <col min="6" max="6" width="16.75" style="2" customWidth="1"/>
    <col min="7" max="8" width="15.625" style="5" customWidth="1"/>
    <col min="9" max="9" width="14.25" style="6" customWidth="1"/>
    <col min="10" max="10" width="12.25" style="6" customWidth="1"/>
    <col min="11" max="11" width="11.5" style="6" customWidth="1"/>
    <col min="12" max="12" width="15.625" style="6" customWidth="1"/>
    <col min="13" max="13" width="15.625" style="7" customWidth="1"/>
    <col min="14" max="16384" width="15.625" style="2" customWidth="1"/>
  </cols>
  <sheetData>
    <row r="1" s="1" customFormat="1" ht="30" customHeight="1" spans="1:1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8" t="s">
        <v>12</v>
      </c>
      <c r="N1" s="8" t="s">
        <v>13</v>
      </c>
      <c r="O1" s="8" t="s">
        <v>14</v>
      </c>
    </row>
    <row r="2" s="1" customFormat="1" ht="30" customHeight="1" spans="1:15">
      <c r="A2" s="8">
        <v>1</v>
      </c>
      <c r="B2" s="10">
        <v>45839</v>
      </c>
      <c r="C2" s="11" t="s">
        <v>15</v>
      </c>
      <c r="D2" s="11" cm="1">
        <f t="array" ref="D2">SUM(VALUE(SUBSTITUTE(_xlfn.TEXTAFTER(_xlfn.TEXTSPLIT(C2,CHAR(10)),"-",-1),"km","")))</f>
        <v>296</v>
      </c>
      <c r="E2" s="11">
        <v>298</v>
      </c>
      <c r="F2" s="11">
        <f>D2-E2</f>
        <v>-2</v>
      </c>
      <c r="G2" s="12">
        <f>H2/1.09</f>
        <v>3.94495412844037</v>
      </c>
      <c r="H2" s="12">
        <v>4.3</v>
      </c>
      <c r="I2" s="17">
        <f>D2*G2</f>
        <v>1167.70642201835</v>
      </c>
      <c r="J2" s="17">
        <f>D2*H2</f>
        <v>1272.8</v>
      </c>
      <c r="K2" s="17">
        <v>3.5</v>
      </c>
      <c r="L2" s="17">
        <f>D2*K2</f>
        <v>1036</v>
      </c>
      <c r="M2" s="8"/>
      <c r="N2" s="8"/>
      <c r="O2" s="34"/>
    </row>
    <row r="3" s="1" customFormat="1" ht="123" customHeight="1" spans="1:15">
      <c r="A3" s="8">
        <v>2</v>
      </c>
      <c r="B3" s="13"/>
      <c r="C3" s="11" t="s">
        <v>16</v>
      </c>
      <c r="D3" s="11" cm="1">
        <f t="array" ref="D3">SUM(VALUE(SUBSTITUTE(_xlfn.TEXTAFTER(_xlfn.TEXTSPLIT(C3,CHAR(10)),"-",-1),"km","")))</f>
        <v>456</v>
      </c>
      <c r="E3" s="11">
        <v>450</v>
      </c>
      <c r="F3" s="11">
        <f>D3-E3</f>
        <v>6</v>
      </c>
      <c r="G3" s="12">
        <f>H3/1.09</f>
        <v>3.76146788990826</v>
      </c>
      <c r="H3" s="12">
        <v>4.1</v>
      </c>
      <c r="I3" s="17">
        <f>D3*G3</f>
        <v>1715.22935779816</v>
      </c>
      <c r="J3" s="17">
        <f>D3*H3</f>
        <v>1869.6</v>
      </c>
      <c r="K3" s="17">
        <v>3.2</v>
      </c>
      <c r="L3" s="17">
        <f>D3*K3</f>
        <v>1459.2</v>
      </c>
      <c r="M3" s="8"/>
      <c r="N3" s="8"/>
      <c r="O3" s="34"/>
    </row>
    <row r="4" s="2" customFormat="1" ht="99.75" spans="1:15">
      <c r="A4" s="8">
        <v>3</v>
      </c>
      <c r="B4" s="14"/>
      <c r="C4" s="11" t="s">
        <v>17</v>
      </c>
      <c r="D4" s="11" cm="1">
        <f t="array" ref="D4">SUM(VALUE(SUBSTITUTE(_xlfn.TEXTAFTER(_xlfn.TEXTSPLIT(C4,CHAR(10)),"-",-1),"km","")))</f>
        <v>464</v>
      </c>
      <c r="E4" s="11">
        <v>463</v>
      </c>
      <c r="F4" s="11">
        <f>D4-E4</f>
        <v>1</v>
      </c>
      <c r="G4" s="12">
        <f>H4/1.09</f>
        <v>3.76146788990826</v>
      </c>
      <c r="H4" s="12">
        <v>4.1</v>
      </c>
      <c r="I4" s="17">
        <f>D4*G4</f>
        <v>1745.32110091743</v>
      </c>
      <c r="J4" s="17">
        <f>D4*H4</f>
        <v>1902.4</v>
      </c>
      <c r="K4" s="17">
        <v>3.2</v>
      </c>
      <c r="L4" s="17">
        <f>D4*K4</f>
        <v>1484.8</v>
      </c>
      <c r="M4" s="20"/>
      <c r="N4" s="11">
        <f>D4-M4</f>
        <v>464</v>
      </c>
      <c r="O4" s="35"/>
    </row>
    <row r="5" customFormat="1" ht="103" customHeight="1" spans="1:18">
      <c r="A5" s="8">
        <v>4</v>
      </c>
      <c r="B5" s="15">
        <v>45840</v>
      </c>
      <c r="C5" s="11" t="s">
        <v>18</v>
      </c>
      <c r="D5" s="11" cm="1">
        <f t="array" ref="D5">SUM(VALUE(SUBSTITUTE(_xlfn.TEXTAFTER(_xlfn.TEXTSPLIT(C5,CHAR(10)),"-",-1),"km","")))</f>
        <v>251.4</v>
      </c>
      <c r="E5" s="16">
        <v>206</v>
      </c>
      <c r="F5" s="11">
        <f>D5-E5</f>
        <v>45.4</v>
      </c>
      <c r="G5" s="17">
        <f>H5/1.09</f>
        <v>3.94495412844037</v>
      </c>
      <c r="H5" s="18">
        <v>4.3</v>
      </c>
      <c r="I5" s="17">
        <f>D5*G5</f>
        <v>991.761467889908</v>
      </c>
      <c r="J5" s="17">
        <f>D5*H5</f>
        <v>1081.02</v>
      </c>
      <c r="K5" s="17">
        <v>3.5</v>
      </c>
      <c r="L5" s="17">
        <f>D5*K5</f>
        <v>879.9</v>
      </c>
      <c r="M5" s="36"/>
      <c r="N5" s="16"/>
      <c r="O5" s="11" t="s">
        <v>19</v>
      </c>
      <c r="Q5" s="2"/>
      <c r="R5" s="3"/>
    </row>
    <row r="6" s="3" customFormat="1" ht="57" spans="1:17">
      <c r="A6" s="8">
        <v>5</v>
      </c>
      <c r="B6" s="10">
        <v>45841</v>
      </c>
      <c r="C6" s="16" t="s">
        <v>20</v>
      </c>
      <c r="D6" s="19" cm="1">
        <f t="array" ref="D6">SUM(VALUE(SUBSTITUTE(_xlfn.TEXTAFTER(_xlfn.TEXTSPLIT(C6,CHAR(10)),"-",-1),"km","")))</f>
        <v>343</v>
      </c>
      <c r="E6" s="16">
        <v>336</v>
      </c>
      <c r="F6" s="11">
        <f>D6-E6</f>
        <v>7</v>
      </c>
      <c r="G6" s="18">
        <f>H6/1.09</f>
        <v>3.76146788990826</v>
      </c>
      <c r="H6" s="18">
        <v>4.1</v>
      </c>
      <c r="I6" s="28">
        <f>D6*G6</f>
        <v>1290.18348623853</v>
      </c>
      <c r="J6" s="28">
        <f>D6*H6</f>
        <v>1406.3</v>
      </c>
      <c r="K6" s="28">
        <v>3.2</v>
      </c>
      <c r="L6" s="28">
        <f>D6*K6</f>
        <v>1097.6</v>
      </c>
      <c r="M6" s="36" t="s">
        <v>21</v>
      </c>
      <c r="N6" s="16"/>
      <c r="O6" s="16"/>
      <c r="Q6" s="2"/>
    </row>
    <row r="7" s="3" customFormat="1" ht="57" spans="1:17">
      <c r="A7" s="8">
        <v>6</v>
      </c>
      <c r="B7" s="13"/>
      <c r="C7" s="11" t="s">
        <v>22</v>
      </c>
      <c r="D7" s="20" cm="1">
        <f t="array" ref="D7">SUM(VALUE(SUBSTITUTE(_xlfn.TEXTAFTER(_xlfn.TEXTSPLIT(C7,CHAR(10)),"-",-1),"km","")))</f>
        <v>293</v>
      </c>
      <c r="E7" s="11">
        <v>291</v>
      </c>
      <c r="F7" s="11">
        <f>D7-E7</f>
        <v>2</v>
      </c>
      <c r="G7" s="12">
        <f>H7/1.09</f>
        <v>3.94495412844037</v>
      </c>
      <c r="H7" s="12">
        <v>4.3</v>
      </c>
      <c r="I7" s="17">
        <f>D7*G7</f>
        <v>1155.87155963303</v>
      </c>
      <c r="J7" s="17">
        <f>D7*H7</f>
        <v>1259.9</v>
      </c>
      <c r="K7" s="17">
        <v>3.5</v>
      </c>
      <c r="L7" s="17">
        <f>D7*K7</f>
        <v>1025.5</v>
      </c>
      <c r="M7" s="20" t="s">
        <v>23</v>
      </c>
      <c r="N7" s="11"/>
      <c r="O7" s="11"/>
      <c r="Q7" s="2"/>
    </row>
    <row r="8" s="4" customFormat="1" ht="114" spans="1:17">
      <c r="A8" s="8">
        <v>7</v>
      </c>
      <c r="B8" s="13"/>
      <c r="C8" s="20" t="s">
        <v>24</v>
      </c>
      <c r="D8" s="21" cm="1">
        <f t="array" ref="D8">SUM(VALUE(SUBSTITUTE(_xlfn.TEXTAFTER(_xlfn.TEXTSPLIT(C8,CHAR(10)),"-",-1),"km","")))</f>
        <v>484.9</v>
      </c>
      <c r="E8" s="20">
        <v>463</v>
      </c>
      <c r="F8" s="11">
        <f>D8-E8</f>
        <v>21.9</v>
      </c>
      <c r="G8" s="17">
        <f>H8/1.09</f>
        <v>3.76146788990826</v>
      </c>
      <c r="H8" s="18">
        <v>4.1</v>
      </c>
      <c r="I8" s="17">
        <f>D8*G8</f>
        <v>1823.93577981651</v>
      </c>
      <c r="J8" s="17">
        <f>D8*H8</f>
        <v>1988.09</v>
      </c>
      <c r="K8" s="17">
        <v>3.2</v>
      </c>
      <c r="L8" s="17">
        <f>D8*K8</f>
        <v>1551.68</v>
      </c>
      <c r="M8" s="20" t="s">
        <v>25</v>
      </c>
      <c r="N8" s="20"/>
      <c r="O8" s="20"/>
      <c r="Q8" s="2"/>
    </row>
    <row r="9" s="4" customFormat="1" ht="39" customHeight="1" spans="1:17">
      <c r="A9" s="8">
        <v>8</v>
      </c>
      <c r="B9" s="13"/>
      <c r="C9" s="16" t="s">
        <v>26</v>
      </c>
      <c r="D9" s="11" cm="1">
        <f t="array" ref="D9">SUM(VALUE(SUBSTITUTE(_xlfn.TEXTAFTER(_xlfn.TEXTSPLIT(C9,CHAR(10)),"-",-1),"km","")))</f>
        <v>207</v>
      </c>
      <c r="E9" s="16">
        <v>206</v>
      </c>
      <c r="F9" s="11">
        <f>D9-E9</f>
        <v>1</v>
      </c>
      <c r="G9" s="17">
        <f>H9/1.09</f>
        <v>3.94495412844037</v>
      </c>
      <c r="H9" s="18">
        <v>4.3</v>
      </c>
      <c r="I9" s="17">
        <f>D9*G9</f>
        <v>816.605504587156</v>
      </c>
      <c r="J9" s="17">
        <f>D9*H9</f>
        <v>890.1</v>
      </c>
      <c r="K9" s="17">
        <v>3.5</v>
      </c>
      <c r="L9" s="17">
        <f>D9*K9</f>
        <v>724.5</v>
      </c>
      <c r="M9" s="20"/>
      <c r="N9" s="20"/>
      <c r="O9" s="20"/>
      <c r="Q9" s="2"/>
    </row>
    <row r="10" s="4" customFormat="1" ht="39" customHeight="1" spans="1:17">
      <c r="A10" s="8">
        <v>9</v>
      </c>
      <c r="B10" s="13"/>
      <c r="C10" s="16" t="s">
        <v>26</v>
      </c>
      <c r="D10" s="11" cm="1">
        <f t="array" ref="D10">SUM(VALUE(SUBSTITUTE(_xlfn.TEXTAFTER(_xlfn.TEXTSPLIT(C10,CHAR(10)),"-",-1),"km","")))</f>
        <v>207</v>
      </c>
      <c r="E10" s="16">
        <v>206</v>
      </c>
      <c r="F10" s="11">
        <f>D10-E10</f>
        <v>1</v>
      </c>
      <c r="G10" s="17">
        <f>H10/1.09</f>
        <v>3.94495412844037</v>
      </c>
      <c r="H10" s="18">
        <v>4.3</v>
      </c>
      <c r="I10" s="17">
        <f>D10*G10</f>
        <v>816.605504587156</v>
      </c>
      <c r="J10" s="17">
        <f>D10*H10</f>
        <v>890.1</v>
      </c>
      <c r="K10" s="17">
        <v>3.5</v>
      </c>
      <c r="L10" s="17">
        <f>D10*K10</f>
        <v>724.5</v>
      </c>
      <c r="M10" s="20"/>
      <c r="N10" s="20"/>
      <c r="O10" s="20"/>
      <c r="Q10" s="2"/>
    </row>
    <row r="11" s="4" customFormat="1" ht="39" customHeight="1" spans="1:17">
      <c r="A11" s="8">
        <v>10</v>
      </c>
      <c r="B11" s="22">
        <v>45842</v>
      </c>
      <c r="C11" s="23" t="s">
        <v>27</v>
      </c>
      <c r="D11" s="11">
        <v>1</v>
      </c>
      <c r="E11" s="24">
        <v>1</v>
      </c>
      <c r="F11" s="11">
        <f>D11-E11</f>
        <v>0</v>
      </c>
      <c r="G11" s="17">
        <f>H11/1.09</f>
        <v>440.366972477064</v>
      </c>
      <c r="H11" s="25">
        <v>480</v>
      </c>
      <c r="I11" s="17">
        <f>D11*G11</f>
        <v>440.366972477064</v>
      </c>
      <c r="J11" s="17">
        <f>D11*H11</f>
        <v>480</v>
      </c>
      <c r="K11" s="17">
        <v>450</v>
      </c>
      <c r="L11" s="17">
        <f>D11*K11</f>
        <v>450</v>
      </c>
      <c r="M11" s="20"/>
      <c r="N11" s="20"/>
      <c r="O11" s="20"/>
      <c r="Q11" s="2"/>
    </row>
    <row r="12" s="4" customFormat="1" ht="39" customHeight="1" spans="1:17">
      <c r="A12" s="8">
        <v>11</v>
      </c>
      <c r="B12" s="22"/>
      <c r="C12" s="23" t="s">
        <v>27</v>
      </c>
      <c r="D12" s="11">
        <v>1</v>
      </c>
      <c r="E12" s="24">
        <v>1</v>
      </c>
      <c r="F12" s="11">
        <f>D12-E12</f>
        <v>0</v>
      </c>
      <c r="G12" s="17">
        <f>H12/1.09</f>
        <v>440.366972477064</v>
      </c>
      <c r="H12" s="25">
        <v>480</v>
      </c>
      <c r="I12" s="17">
        <f>D12*G12</f>
        <v>440.366972477064</v>
      </c>
      <c r="J12" s="17">
        <f>D12*H12</f>
        <v>480</v>
      </c>
      <c r="K12" s="17">
        <v>450</v>
      </c>
      <c r="L12" s="17">
        <f>D12*K12</f>
        <v>450</v>
      </c>
      <c r="M12" s="20"/>
      <c r="N12" s="20"/>
      <c r="O12" s="20"/>
      <c r="Q12" s="2"/>
    </row>
    <row r="13" s="3" customFormat="1" ht="71.25" spans="1:17">
      <c r="A13" s="8">
        <v>12</v>
      </c>
      <c r="B13" s="22"/>
      <c r="C13" s="11" t="s">
        <v>28</v>
      </c>
      <c r="D13" s="21" cm="1">
        <f t="array" ref="D13">SUM(VALUE(SUBSTITUTE(_xlfn.TEXTAFTER(_xlfn.TEXTSPLIT(C13,CHAR(10)),"-",-1),"km","")))</f>
        <v>200</v>
      </c>
      <c r="E13" s="11">
        <v>1</v>
      </c>
      <c r="F13" s="11">
        <f t="shared" ref="F13:F22" si="0">D13-E13</f>
        <v>199</v>
      </c>
      <c r="G13" s="12">
        <f>H13/1.09</f>
        <v>4.12844036697248</v>
      </c>
      <c r="H13" s="12">
        <v>4.5</v>
      </c>
      <c r="I13" s="17">
        <f>D13*G13</f>
        <v>825.688073394495</v>
      </c>
      <c r="J13" s="17">
        <f>D13*H13</f>
        <v>900</v>
      </c>
      <c r="K13" s="17">
        <v>3.5</v>
      </c>
      <c r="L13" s="17">
        <f>D13*K13</f>
        <v>700</v>
      </c>
      <c r="M13" s="20" t="s">
        <v>29</v>
      </c>
      <c r="N13" s="11"/>
      <c r="O13" s="11"/>
      <c r="Q13" s="2"/>
    </row>
    <row r="14" s="3" customFormat="1" ht="40" customHeight="1" spans="1:17">
      <c r="A14" s="8">
        <v>13</v>
      </c>
      <c r="B14" s="22"/>
      <c r="C14" s="11" t="s">
        <v>30</v>
      </c>
      <c r="D14" s="21" cm="1">
        <f t="array" ref="D14">SUM(VALUE(SUBSTITUTE(_xlfn.TEXTAFTER(_xlfn.TEXTSPLIT(C14,CHAR(10)),"-",-1),"km","")))</f>
        <v>235</v>
      </c>
      <c r="E14" s="11">
        <v>216</v>
      </c>
      <c r="F14" s="11">
        <f t="shared" si="0"/>
        <v>19</v>
      </c>
      <c r="G14" s="12">
        <f>H14/1.09</f>
        <v>3.94495412844037</v>
      </c>
      <c r="H14" s="12">
        <v>4.3</v>
      </c>
      <c r="I14" s="17">
        <f>D14*G14</f>
        <v>927.064220183486</v>
      </c>
      <c r="J14" s="17">
        <f>D14*H14</f>
        <v>1010.5</v>
      </c>
      <c r="K14" s="17">
        <v>3.5</v>
      </c>
      <c r="L14" s="17">
        <f>D14*K14</f>
        <v>822.5</v>
      </c>
      <c r="M14" s="20" t="s">
        <v>23</v>
      </c>
      <c r="N14" s="11"/>
      <c r="O14" s="11"/>
      <c r="Q14" s="2"/>
    </row>
    <row r="15" s="3" customFormat="1" ht="85.5" spans="1:17">
      <c r="A15" s="8">
        <v>14</v>
      </c>
      <c r="B15" s="22"/>
      <c r="C15" s="11" t="s">
        <v>31</v>
      </c>
      <c r="D15" s="21" cm="1">
        <f t="array" ref="D15">SUM(VALUE(SUBSTITUTE(_xlfn.TEXTAFTER(_xlfn.TEXTSPLIT(C15,CHAR(10)),"-",-1),"km","")))</f>
        <v>273.5</v>
      </c>
      <c r="E15" s="11">
        <v>257</v>
      </c>
      <c r="F15" s="11">
        <f t="shared" si="0"/>
        <v>16.5</v>
      </c>
      <c r="G15" s="12">
        <f>H15/1.09</f>
        <v>3.94495412844037</v>
      </c>
      <c r="H15" s="12">
        <v>4.3</v>
      </c>
      <c r="I15" s="17">
        <f>D15*G15</f>
        <v>1078.94495412844</v>
      </c>
      <c r="J15" s="17">
        <f>D15*H15</f>
        <v>1176.05</v>
      </c>
      <c r="K15" s="17">
        <v>3.5</v>
      </c>
      <c r="L15" s="17">
        <f>D15*K15</f>
        <v>957.25</v>
      </c>
      <c r="M15" s="20" t="s">
        <v>32</v>
      </c>
      <c r="N15" s="11"/>
      <c r="O15" s="11"/>
      <c r="Q15" s="2"/>
    </row>
    <row r="16" s="3" customFormat="1" ht="57" spans="1:17">
      <c r="A16" s="8">
        <v>15</v>
      </c>
      <c r="B16" s="26">
        <v>45843</v>
      </c>
      <c r="C16" s="11" t="s">
        <v>33</v>
      </c>
      <c r="D16" s="20" cm="1">
        <f t="array" ref="D16">SUM(VALUE(SUBSTITUTE(_xlfn.TEXTAFTER(_xlfn.TEXTSPLIT(C16,CHAR(10)),"-",-1),"km","")))</f>
        <v>338</v>
      </c>
      <c r="E16" s="11">
        <v>336</v>
      </c>
      <c r="F16" s="11">
        <f t="shared" si="0"/>
        <v>2</v>
      </c>
      <c r="G16" s="12">
        <f>H16/1.09</f>
        <v>3.76146788990826</v>
      </c>
      <c r="H16" s="18">
        <v>4.1</v>
      </c>
      <c r="I16" s="17">
        <f>D16*G16</f>
        <v>1271.37614678899</v>
      </c>
      <c r="J16" s="17">
        <f>D16*H16</f>
        <v>1385.8</v>
      </c>
      <c r="K16" s="17">
        <v>3.2</v>
      </c>
      <c r="L16" s="17">
        <f>D16*K16</f>
        <v>1081.6</v>
      </c>
      <c r="M16" s="20" t="s">
        <v>32</v>
      </c>
      <c r="N16" s="11"/>
      <c r="O16" s="11"/>
      <c r="Q16" s="2"/>
    </row>
    <row r="17" s="3" customFormat="1" ht="71.25" spans="1:17">
      <c r="A17" s="8">
        <v>16</v>
      </c>
      <c r="B17" s="26"/>
      <c r="C17" s="11" t="s">
        <v>34</v>
      </c>
      <c r="D17" s="20" cm="1">
        <f t="array" ref="D17">SUM(VALUE(SUBSTITUTE(_xlfn.TEXTAFTER(_xlfn.TEXTSPLIT(C17,CHAR(10)),"-",-1),"km","")))</f>
        <v>388</v>
      </c>
      <c r="E17" s="11">
        <v>386</v>
      </c>
      <c r="F17" s="11">
        <f t="shared" si="0"/>
        <v>2</v>
      </c>
      <c r="G17" s="12">
        <f>H17/1.09</f>
        <v>3.76146788990826</v>
      </c>
      <c r="H17" s="18">
        <v>4.1</v>
      </c>
      <c r="I17" s="17">
        <f>D17*G17</f>
        <v>1459.4495412844</v>
      </c>
      <c r="J17" s="17">
        <f>D17*H17</f>
        <v>1590.8</v>
      </c>
      <c r="K17" s="17">
        <v>3.2</v>
      </c>
      <c r="L17" s="17">
        <f>D17*K17</f>
        <v>1241.6</v>
      </c>
      <c r="M17" s="20" t="s">
        <v>25</v>
      </c>
      <c r="N17" s="11"/>
      <c r="O17" s="11"/>
      <c r="Q17" s="2"/>
    </row>
    <row r="18" s="3" customFormat="1" ht="85.5" spans="1:17">
      <c r="A18" s="8">
        <v>17</v>
      </c>
      <c r="B18" s="26"/>
      <c r="C18" s="11" t="s">
        <v>35</v>
      </c>
      <c r="D18" s="21" cm="1">
        <f t="array" ref="D18">SUM(VALUE(SUBSTITUTE(_xlfn.TEXTAFTER(_xlfn.TEXTSPLIT(C18,CHAR(10)),"-",-1),"km","")))</f>
        <v>492</v>
      </c>
      <c r="E18" s="11">
        <v>495</v>
      </c>
      <c r="F18" s="11">
        <f t="shared" si="0"/>
        <v>-3</v>
      </c>
      <c r="G18" s="12">
        <f>H18/1.09</f>
        <v>3.76146788990826</v>
      </c>
      <c r="H18" s="18">
        <v>4.1</v>
      </c>
      <c r="I18" s="17">
        <f>D18*G18</f>
        <v>1850.64220183486</v>
      </c>
      <c r="J18" s="17">
        <f>D18*H18</f>
        <v>2017.2</v>
      </c>
      <c r="K18" s="17">
        <v>3.2</v>
      </c>
      <c r="L18" s="17">
        <f>D18*K18</f>
        <v>1574.4</v>
      </c>
      <c r="M18" s="20" t="s">
        <v>23</v>
      </c>
      <c r="N18" s="11"/>
      <c r="O18" s="11"/>
      <c r="Q18" s="2"/>
    </row>
    <row r="19" s="3" customFormat="1" ht="40" customHeight="1" spans="1:17">
      <c r="A19" s="8">
        <v>18</v>
      </c>
      <c r="B19" s="10">
        <v>45844</v>
      </c>
      <c r="C19" s="11" t="s">
        <v>36</v>
      </c>
      <c r="D19" s="21">
        <v>1</v>
      </c>
      <c r="E19" s="11">
        <v>1</v>
      </c>
      <c r="F19" s="11">
        <f>D19-E19</f>
        <v>0</v>
      </c>
      <c r="G19" s="12">
        <f>H19/1.09</f>
        <v>440.366972477064</v>
      </c>
      <c r="H19" s="18">
        <v>480</v>
      </c>
      <c r="I19" s="17">
        <f>D19*G19</f>
        <v>440.366972477064</v>
      </c>
      <c r="J19" s="17">
        <f>D19*H19</f>
        <v>480</v>
      </c>
      <c r="K19" s="17">
        <v>450</v>
      </c>
      <c r="L19" s="17">
        <f>D19*K19</f>
        <v>450</v>
      </c>
      <c r="M19" s="20"/>
      <c r="N19" s="11"/>
      <c r="O19" s="11"/>
      <c r="Q19" s="2"/>
    </row>
    <row r="20" s="3" customFormat="1" ht="40" customHeight="1" spans="1:17">
      <c r="A20" s="8">
        <v>19</v>
      </c>
      <c r="B20" s="13"/>
      <c r="C20" s="11" t="s">
        <v>36</v>
      </c>
      <c r="D20" s="21">
        <v>1</v>
      </c>
      <c r="E20" s="11">
        <v>1</v>
      </c>
      <c r="F20" s="11">
        <f>D20-E20</f>
        <v>0</v>
      </c>
      <c r="G20" s="12">
        <f>H20/1.09</f>
        <v>440.366972477064</v>
      </c>
      <c r="H20" s="18">
        <v>480</v>
      </c>
      <c r="I20" s="17">
        <f>D20*G20</f>
        <v>440.366972477064</v>
      </c>
      <c r="J20" s="17">
        <f>D20*H20</f>
        <v>480</v>
      </c>
      <c r="K20" s="17">
        <v>450</v>
      </c>
      <c r="L20" s="17">
        <f>D20*K20</f>
        <v>450</v>
      </c>
      <c r="M20" s="20"/>
      <c r="N20" s="11"/>
      <c r="O20" s="11"/>
      <c r="Q20" s="2"/>
    </row>
    <row r="21" s="3" customFormat="1" ht="126" customHeight="1" spans="1:17">
      <c r="A21" s="8">
        <v>20</v>
      </c>
      <c r="B21" s="13"/>
      <c r="C21" s="11" t="s">
        <v>37</v>
      </c>
      <c r="D21" s="21" cm="1">
        <f t="array" ref="D21">SUM(VALUE(SUBSTITUTE(_xlfn.TEXTAFTER(_xlfn.TEXTSPLIT(C21,CHAR(10)),"-",-1),"km","")))</f>
        <v>314.6</v>
      </c>
      <c r="E21" s="11">
        <v>294</v>
      </c>
      <c r="F21" s="11">
        <f>D21-E21</f>
        <v>20.6</v>
      </c>
      <c r="G21" s="12">
        <f>H21/1.09</f>
        <v>3.76146788990826</v>
      </c>
      <c r="H21" s="18">
        <v>4.1</v>
      </c>
      <c r="I21" s="17">
        <f>D21*G21</f>
        <v>1183.35779816514</v>
      </c>
      <c r="J21" s="17">
        <f>D21*H21</f>
        <v>1289.86</v>
      </c>
      <c r="K21" s="17">
        <v>3.2</v>
      </c>
      <c r="L21" s="17">
        <f>D21*K21</f>
        <v>1006.72</v>
      </c>
      <c r="M21" s="20"/>
      <c r="N21" s="11"/>
      <c r="O21" s="11"/>
      <c r="Q21" s="2"/>
    </row>
    <row r="22" s="3" customFormat="1" ht="65" customHeight="1" spans="1:17">
      <c r="A22" s="8">
        <v>21</v>
      </c>
      <c r="B22" s="13"/>
      <c r="C22" s="11" t="s">
        <v>38</v>
      </c>
      <c r="D22" s="21" cm="1">
        <f t="array" ref="D22">SUM(VALUE(SUBSTITUTE(_xlfn.TEXTAFTER(_xlfn.TEXTSPLIT(C22,CHAR(10)),"-",-1),"km","")))</f>
        <v>154</v>
      </c>
      <c r="E22" s="11">
        <v>113</v>
      </c>
      <c r="F22" s="11">
        <f>D22-E22</f>
        <v>41</v>
      </c>
      <c r="G22" s="12">
        <f>H22/1.09</f>
        <v>4.12844036697248</v>
      </c>
      <c r="H22" s="12">
        <v>4.5</v>
      </c>
      <c r="I22" s="17">
        <f>D22*G22</f>
        <v>635.779816513761</v>
      </c>
      <c r="J22" s="17">
        <f>D22*H22</f>
        <v>693</v>
      </c>
      <c r="K22" s="17">
        <v>3.5</v>
      </c>
      <c r="L22" s="17">
        <f>D22*K22</f>
        <v>539</v>
      </c>
      <c r="M22" s="20"/>
      <c r="N22" s="11"/>
      <c r="O22" s="11"/>
      <c r="Q22" s="2"/>
    </row>
    <row r="23" s="3" customFormat="1" ht="65" customHeight="1" spans="1:17">
      <c r="A23" s="8">
        <v>22</v>
      </c>
      <c r="B23" s="27">
        <v>45845</v>
      </c>
      <c r="C23" s="23" t="s">
        <v>36</v>
      </c>
      <c r="D23" s="21">
        <v>1</v>
      </c>
      <c r="E23" s="11">
        <v>1</v>
      </c>
      <c r="F23" s="11">
        <f>D23-E23</f>
        <v>0</v>
      </c>
      <c r="G23" s="12">
        <f>H23/1.09</f>
        <v>440.366972477064</v>
      </c>
      <c r="H23" s="12">
        <v>480</v>
      </c>
      <c r="I23" s="17">
        <f>D23*G23</f>
        <v>440.366972477064</v>
      </c>
      <c r="J23" s="17">
        <f>D23*H23</f>
        <v>480</v>
      </c>
      <c r="K23" s="17">
        <v>450</v>
      </c>
      <c r="L23" s="17">
        <f>D23*K23</f>
        <v>450</v>
      </c>
      <c r="M23" s="20"/>
      <c r="N23" s="11"/>
      <c r="O23" s="11"/>
      <c r="Q23" s="2"/>
    </row>
    <row r="24" s="4" customFormat="1" ht="86" customHeight="1" spans="1:17">
      <c r="A24" s="8">
        <v>23</v>
      </c>
      <c r="B24" s="27"/>
      <c r="C24" s="20" t="s">
        <v>39</v>
      </c>
      <c r="D24" s="20" cm="1">
        <f t="array" ref="D24">SUM(VALUE(SUBSTITUTE(_xlfn.TEXTAFTER(_xlfn.TEXTSPLIT(C24,CHAR(10)),"-",-1),"km","")))</f>
        <v>276.5</v>
      </c>
      <c r="E24" s="20">
        <v>278</v>
      </c>
      <c r="F24" s="20">
        <f t="shared" ref="F24:F87" si="1">D24-E24</f>
        <v>-1.5</v>
      </c>
      <c r="G24" s="17">
        <f t="shared" ref="G24:G69" si="2">H24/1.09</f>
        <v>3.94495412844037</v>
      </c>
      <c r="H24" s="17">
        <v>4.3</v>
      </c>
      <c r="I24" s="17">
        <f t="shared" ref="I24:I69" si="3">D24*G24</f>
        <v>1090.77981651376</v>
      </c>
      <c r="J24" s="17">
        <f t="shared" ref="J24:J69" si="4">D24*H24</f>
        <v>1188.95</v>
      </c>
      <c r="K24" s="17">
        <v>3.5</v>
      </c>
      <c r="L24" s="17">
        <f t="shared" ref="L24:L69" si="5">D24*K24</f>
        <v>967.75</v>
      </c>
      <c r="M24" s="20"/>
      <c r="N24" s="20"/>
      <c r="O24" s="20"/>
      <c r="Q24" s="7"/>
    </row>
    <row r="25" s="4" customFormat="1" ht="69" customHeight="1" spans="1:17">
      <c r="A25" s="8">
        <v>24</v>
      </c>
      <c r="B25" s="27"/>
      <c r="C25" s="20" t="s">
        <v>33</v>
      </c>
      <c r="D25" s="20" cm="1">
        <f t="array" ref="D25">SUM(VALUE(SUBSTITUTE(_xlfn.TEXTAFTER(_xlfn.TEXTSPLIT(C25,CHAR(10)),"-",-1),"km","")))</f>
        <v>338</v>
      </c>
      <c r="E25" s="20">
        <v>336</v>
      </c>
      <c r="F25" s="20">
        <f t="shared" si="1"/>
        <v>2</v>
      </c>
      <c r="G25" s="17">
        <f t="shared" si="2"/>
        <v>3.76146788990826</v>
      </c>
      <c r="H25" s="28">
        <v>4.1</v>
      </c>
      <c r="I25" s="17">
        <f t="shared" si="3"/>
        <v>1271.37614678899</v>
      </c>
      <c r="J25" s="17">
        <f t="shared" si="4"/>
        <v>1385.8</v>
      </c>
      <c r="K25" s="17">
        <v>3.2</v>
      </c>
      <c r="L25" s="17">
        <f t="shared" si="5"/>
        <v>1081.6</v>
      </c>
      <c r="M25" s="20"/>
      <c r="N25" s="20"/>
      <c r="O25" s="20"/>
      <c r="Q25" s="7"/>
    </row>
    <row r="26" s="4" customFormat="1" ht="67" customHeight="1" spans="1:17">
      <c r="A26" s="8">
        <v>25</v>
      </c>
      <c r="B26" s="29">
        <v>45846</v>
      </c>
      <c r="C26" s="30" t="s">
        <v>40</v>
      </c>
      <c r="D26" s="21" cm="1">
        <f t="array" ref="D26">SUM(VALUE(SUBSTITUTE(_xlfn.TEXTAFTER(_xlfn.TEXTSPLIT(C26,CHAR(10)),"-",-1),"km","")))</f>
        <v>121</v>
      </c>
      <c r="E26" s="20">
        <v>92</v>
      </c>
      <c r="F26" s="20">
        <f t="shared" si="1"/>
        <v>29</v>
      </c>
      <c r="G26" s="17">
        <f t="shared" si="2"/>
        <v>4.12844036697248</v>
      </c>
      <c r="H26" s="17">
        <v>4.5</v>
      </c>
      <c r="I26" s="17">
        <f t="shared" si="3"/>
        <v>499.54128440367</v>
      </c>
      <c r="J26" s="17">
        <f t="shared" si="4"/>
        <v>544.5</v>
      </c>
      <c r="K26" s="17">
        <v>3.5</v>
      </c>
      <c r="L26" s="17">
        <f t="shared" si="5"/>
        <v>423.5</v>
      </c>
      <c r="M26" s="20"/>
      <c r="N26" s="20"/>
      <c r="O26" s="20" t="s">
        <v>41</v>
      </c>
      <c r="Q26" s="7"/>
    </row>
    <row r="27" s="4" customFormat="1" ht="52" customHeight="1" spans="1:17">
      <c r="A27" s="8">
        <v>26</v>
      </c>
      <c r="B27" s="29"/>
      <c r="C27" s="20" t="s">
        <v>42</v>
      </c>
      <c r="D27" s="21" cm="1">
        <f t="array" ref="D27">SUM(VALUE(SUBSTITUTE(_xlfn.TEXTAFTER(_xlfn.TEXTSPLIT(C27,CHAR(10)),"-",-1),"km","")))</f>
        <v>127.9</v>
      </c>
      <c r="E27" s="20">
        <v>52</v>
      </c>
      <c r="F27" s="11">
        <f t="shared" si="1"/>
        <v>75.9</v>
      </c>
      <c r="G27" s="17">
        <f t="shared" si="2"/>
        <v>4.12844036697248</v>
      </c>
      <c r="H27" s="12">
        <v>4.5</v>
      </c>
      <c r="I27" s="17">
        <f t="shared" si="3"/>
        <v>528.02752293578</v>
      </c>
      <c r="J27" s="17">
        <f t="shared" si="4"/>
        <v>575.55</v>
      </c>
      <c r="K27" s="17">
        <v>3.5</v>
      </c>
      <c r="L27" s="17">
        <f t="shared" si="5"/>
        <v>447.65</v>
      </c>
      <c r="M27" s="20"/>
      <c r="N27" s="20"/>
      <c r="O27" s="20"/>
      <c r="Q27" s="2"/>
    </row>
    <row r="28" s="4" customFormat="1" ht="71.25" spans="1:17">
      <c r="A28" s="8">
        <v>27</v>
      </c>
      <c r="B28" s="29"/>
      <c r="C28" s="20" t="s">
        <v>43</v>
      </c>
      <c r="D28" s="21" cm="1">
        <f t="array" ref="D28">SUM(VALUE(SUBSTITUTE(_xlfn.TEXTAFTER(_xlfn.TEXTSPLIT(C28,CHAR(10)),"-",-1),"km","")))</f>
        <v>273.8</v>
      </c>
      <c r="E28" s="20">
        <v>254</v>
      </c>
      <c r="F28" s="11">
        <f t="shared" si="1"/>
        <v>19.8</v>
      </c>
      <c r="G28" s="17">
        <f t="shared" si="2"/>
        <v>3.94495412844037</v>
      </c>
      <c r="H28" s="12">
        <v>4.3</v>
      </c>
      <c r="I28" s="17">
        <f t="shared" si="3"/>
        <v>1080.12844036697</v>
      </c>
      <c r="J28" s="17">
        <f t="shared" si="4"/>
        <v>1177.34</v>
      </c>
      <c r="K28" s="17">
        <v>3.5</v>
      </c>
      <c r="L28" s="17">
        <f t="shared" si="5"/>
        <v>958.3</v>
      </c>
      <c r="M28" s="20"/>
      <c r="N28" s="20"/>
      <c r="O28" s="20"/>
      <c r="Q28" s="2"/>
    </row>
    <row r="29" s="4" customFormat="1" ht="42.75" spans="1:17">
      <c r="A29" s="8">
        <v>28</v>
      </c>
      <c r="B29" s="29"/>
      <c r="C29" s="20" t="s">
        <v>44</v>
      </c>
      <c r="D29" s="20" cm="1">
        <f t="array" ref="D29">SUM(VALUE(SUBSTITUTE(_xlfn.TEXTAFTER(_xlfn.TEXTSPLIT(C29,CHAR(10)),"-",-1),"km","")))</f>
        <v>179.5</v>
      </c>
      <c r="E29" s="20">
        <v>176</v>
      </c>
      <c r="F29" s="11">
        <f t="shared" si="1"/>
        <v>3.5</v>
      </c>
      <c r="G29" s="17">
        <f t="shared" si="2"/>
        <v>4.12844036697248</v>
      </c>
      <c r="H29" s="12">
        <v>4.5</v>
      </c>
      <c r="I29" s="17">
        <f t="shared" si="3"/>
        <v>741.05504587156</v>
      </c>
      <c r="J29" s="17">
        <f t="shared" si="4"/>
        <v>807.75</v>
      </c>
      <c r="K29" s="17">
        <v>3.5</v>
      </c>
      <c r="L29" s="17">
        <f t="shared" si="5"/>
        <v>628.25</v>
      </c>
      <c r="M29" s="20"/>
      <c r="N29" s="20"/>
      <c r="O29" s="20"/>
      <c r="Q29" s="2"/>
    </row>
    <row r="30" s="3" customFormat="1" ht="42.75" spans="1:17">
      <c r="A30" s="8">
        <v>29</v>
      </c>
      <c r="B30" s="26"/>
      <c r="C30" s="11" t="s">
        <v>45</v>
      </c>
      <c r="D30" s="20">
        <v>1</v>
      </c>
      <c r="E30" s="11"/>
      <c r="F30" s="11">
        <f t="shared" si="1"/>
        <v>1</v>
      </c>
      <c r="G30" s="12">
        <f t="shared" si="2"/>
        <v>440.366972477064</v>
      </c>
      <c r="H30" s="12">
        <v>480</v>
      </c>
      <c r="I30" s="17">
        <f t="shared" si="3"/>
        <v>440.366972477064</v>
      </c>
      <c r="J30" s="17">
        <f t="shared" si="4"/>
        <v>480</v>
      </c>
      <c r="K30" s="17">
        <v>450</v>
      </c>
      <c r="L30" s="17">
        <f t="shared" si="5"/>
        <v>450</v>
      </c>
      <c r="M30" s="20"/>
      <c r="N30" s="11"/>
      <c r="O30" s="11"/>
      <c r="Q30" s="2"/>
    </row>
    <row r="31" s="3" customFormat="1" ht="114" spans="1:17">
      <c r="A31" s="8">
        <v>30</v>
      </c>
      <c r="B31" s="26">
        <v>45847</v>
      </c>
      <c r="C31" s="11" t="s">
        <v>46</v>
      </c>
      <c r="D31" s="20" cm="1">
        <f t="array" ref="D31">SUM(VALUE(SUBSTITUTE(_xlfn.TEXTAFTER(_xlfn.TEXTSPLIT(C31,CHAR(10)),"-",-1),"km","")))</f>
        <v>453.8</v>
      </c>
      <c r="E31" s="11">
        <v>449.1</v>
      </c>
      <c r="F31" s="11">
        <f t="shared" si="1"/>
        <v>4.69999999999999</v>
      </c>
      <c r="G31" s="12">
        <f t="shared" si="2"/>
        <v>3.76146788990826</v>
      </c>
      <c r="H31" s="18">
        <v>4.1</v>
      </c>
      <c r="I31" s="17">
        <f t="shared" si="3"/>
        <v>1706.95412844037</v>
      </c>
      <c r="J31" s="17">
        <f t="shared" si="4"/>
        <v>1860.58</v>
      </c>
      <c r="K31" s="17">
        <v>3.2</v>
      </c>
      <c r="L31" s="17">
        <f t="shared" si="5"/>
        <v>1452.16</v>
      </c>
      <c r="M31" s="20"/>
      <c r="N31" s="11"/>
      <c r="O31" s="11"/>
      <c r="Q31" s="2"/>
    </row>
    <row r="32" s="3" customFormat="1" ht="71.25" spans="1:17">
      <c r="A32" s="8">
        <v>31</v>
      </c>
      <c r="B32" s="26"/>
      <c r="C32" s="11" t="s">
        <v>47</v>
      </c>
      <c r="D32" s="21" cm="1">
        <f t="array" ref="D32">SUM(VALUE(SUBSTITUTE(_xlfn.TEXTAFTER(_xlfn.TEXTSPLIT(C32,CHAR(10)),"-",-1),"km","")))</f>
        <v>484</v>
      </c>
      <c r="E32" s="11">
        <v>467</v>
      </c>
      <c r="F32" s="11">
        <f t="shared" si="1"/>
        <v>17</v>
      </c>
      <c r="G32" s="12">
        <f t="shared" si="2"/>
        <v>3.76146788990826</v>
      </c>
      <c r="H32" s="18">
        <v>4.1</v>
      </c>
      <c r="I32" s="17">
        <f t="shared" si="3"/>
        <v>1820.5504587156</v>
      </c>
      <c r="J32" s="17">
        <f t="shared" si="4"/>
        <v>1984.4</v>
      </c>
      <c r="K32" s="17">
        <v>3.2</v>
      </c>
      <c r="L32" s="17">
        <f t="shared" si="5"/>
        <v>1548.8</v>
      </c>
      <c r="M32" s="20"/>
      <c r="N32" s="11"/>
      <c r="O32" s="11"/>
      <c r="Q32" s="2"/>
    </row>
    <row r="33" s="3" customFormat="1" ht="57" spans="1:17">
      <c r="A33" s="8">
        <v>32</v>
      </c>
      <c r="B33" s="26"/>
      <c r="C33" s="11" t="s">
        <v>48</v>
      </c>
      <c r="D33" s="21" cm="1">
        <f t="array" ref="D33">SUM(VALUE(SUBSTITUTE(_xlfn.TEXTAFTER(_xlfn.TEXTSPLIT(C33,CHAR(10)),"-",-1),"km","")))</f>
        <v>324</v>
      </c>
      <c r="E33" s="11">
        <v>312.4</v>
      </c>
      <c r="F33" s="11">
        <f t="shared" si="1"/>
        <v>11.6</v>
      </c>
      <c r="G33" s="12">
        <f t="shared" si="2"/>
        <v>3.76146788990826</v>
      </c>
      <c r="H33" s="18">
        <v>4.1</v>
      </c>
      <c r="I33" s="17">
        <f t="shared" si="3"/>
        <v>1218.71559633028</v>
      </c>
      <c r="J33" s="17">
        <f t="shared" si="4"/>
        <v>1328.4</v>
      </c>
      <c r="K33" s="17">
        <v>3.2</v>
      </c>
      <c r="L33" s="17">
        <f t="shared" si="5"/>
        <v>1036.8</v>
      </c>
      <c r="M33" s="20"/>
      <c r="N33" s="11"/>
      <c r="O33" s="11"/>
      <c r="Q33" s="2"/>
    </row>
    <row r="34" s="3" customFormat="1" ht="71.25" spans="1:17">
      <c r="A34" s="8">
        <v>33</v>
      </c>
      <c r="B34" s="26">
        <v>45848</v>
      </c>
      <c r="C34" s="11" t="s">
        <v>49</v>
      </c>
      <c r="D34" s="21" cm="1">
        <f t="array" ref="D34">SUM(VALUE(SUBSTITUTE(_xlfn.TEXTAFTER(_xlfn.TEXTSPLIT(C34,CHAR(10)),"-",-1),"km","")))</f>
        <v>282.9</v>
      </c>
      <c r="E34" s="11">
        <v>392.2</v>
      </c>
      <c r="F34" s="11">
        <f t="shared" si="1"/>
        <v>-109.3</v>
      </c>
      <c r="G34" s="12">
        <f t="shared" si="2"/>
        <v>3.94495412844037</v>
      </c>
      <c r="H34" s="12">
        <v>4.3</v>
      </c>
      <c r="I34" s="17">
        <f t="shared" si="3"/>
        <v>1116.02752293578</v>
      </c>
      <c r="J34" s="17">
        <f t="shared" si="4"/>
        <v>1216.47</v>
      </c>
      <c r="K34" s="17">
        <v>3.5</v>
      </c>
      <c r="L34" s="17">
        <f t="shared" si="5"/>
        <v>990.15</v>
      </c>
      <c r="M34" s="20"/>
      <c r="N34" s="11"/>
      <c r="O34" s="11" t="s">
        <v>50</v>
      </c>
      <c r="Q34" s="2"/>
    </row>
    <row r="35" ht="57" spans="1:15">
      <c r="A35" s="8">
        <v>34</v>
      </c>
      <c r="B35" s="26"/>
      <c r="C35" s="11" t="s">
        <v>51</v>
      </c>
      <c r="D35" s="20" cm="1">
        <f t="array" ref="D35">SUM(VALUE(SUBSTITUTE(_xlfn.TEXTAFTER(_xlfn.TEXTSPLIT(C35,CHAR(10)),"-",-1),"km","")))</f>
        <v>131.7</v>
      </c>
      <c r="E35" s="11">
        <v>121.2</v>
      </c>
      <c r="F35" s="11">
        <f t="shared" si="1"/>
        <v>10.5</v>
      </c>
      <c r="G35" s="12">
        <f t="shared" si="2"/>
        <v>4.12844036697248</v>
      </c>
      <c r="H35" s="12">
        <v>4.5</v>
      </c>
      <c r="I35" s="17">
        <f t="shared" si="3"/>
        <v>543.715596330275</v>
      </c>
      <c r="J35" s="17">
        <f t="shared" si="4"/>
        <v>592.65</v>
      </c>
      <c r="K35" s="17">
        <v>3.5</v>
      </c>
      <c r="L35" s="17">
        <f t="shared" si="5"/>
        <v>460.95</v>
      </c>
      <c r="M35" s="20"/>
      <c r="N35" s="11"/>
      <c r="O35" s="11" t="s">
        <v>52</v>
      </c>
    </row>
    <row r="36" ht="114" spans="1:15">
      <c r="A36" s="8">
        <v>35</v>
      </c>
      <c r="B36" s="26"/>
      <c r="C36" s="11" t="s">
        <v>53</v>
      </c>
      <c r="D36" s="20" cm="1">
        <f t="array" ref="D36">SUM(VALUE(SUBSTITUTE(_xlfn.TEXTAFTER(_xlfn.TEXTSPLIT(C36,CHAR(10)),"-",-1),"km","")))</f>
        <v>347.1</v>
      </c>
      <c r="E36" s="11">
        <v>339</v>
      </c>
      <c r="F36" s="11">
        <f t="shared" si="1"/>
        <v>8.10000000000002</v>
      </c>
      <c r="G36" s="12">
        <f t="shared" si="2"/>
        <v>3.76146788990826</v>
      </c>
      <c r="H36" s="18">
        <v>4.1</v>
      </c>
      <c r="I36" s="17">
        <f t="shared" si="3"/>
        <v>1305.60550458716</v>
      </c>
      <c r="J36" s="17">
        <f t="shared" si="4"/>
        <v>1423.11</v>
      </c>
      <c r="K36" s="17">
        <v>3.2</v>
      </c>
      <c r="L36" s="17">
        <f t="shared" si="5"/>
        <v>1110.72</v>
      </c>
      <c r="M36" s="20"/>
      <c r="N36" s="11"/>
      <c r="O36" s="11"/>
    </row>
    <row r="37" ht="114" spans="1:15">
      <c r="A37" s="8">
        <v>36</v>
      </c>
      <c r="B37" s="31">
        <v>45849</v>
      </c>
      <c r="C37" s="11" t="s">
        <v>54</v>
      </c>
      <c r="D37" s="20" cm="1">
        <f t="array" ref="D37">SUM(VALUE(SUBSTITUTE(_xlfn.TEXTAFTER(_xlfn.TEXTSPLIT(C37,CHAR(10)),"-",-1),"km","")))</f>
        <v>483.7</v>
      </c>
      <c r="E37" s="11">
        <v>449.1</v>
      </c>
      <c r="F37" s="11">
        <f t="shared" si="1"/>
        <v>34.6</v>
      </c>
      <c r="G37" s="12">
        <f t="shared" si="2"/>
        <v>3.76146788990826</v>
      </c>
      <c r="H37" s="18">
        <v>4.1</v>
      </c>
      <c r="I37" s="17">
        <f t="shared" si="3"/>
        <v>1819.42201834862</v>
      </c>
      <c r="J37" s="17">
        <f t="shared" si="4"/>
        <v>1983.17</v>
      </c>
      <c r="K37" s="17">
        <v>3.2</v>
      </c>
      <c r="L37" s="17">
        <f t="shared" si="5"/>
        <v>1547.84</v>
      </c>
      <c r="M37" s="20"/>
      <c r="N37" s="11"/>
      <c r="O37" s="11"/>
    </row>
    <row r="38" ht="71.25" spans="1:15">
      <c r="A38" s="8">
        <v>37</v>
      </c>
      <c r="B38" s="15"/>
      <c r="C38" s="11" t="s">
        <v>55</v>
      </c>
      <c r="D38" s="20" cm="1">
        <f t="array" ref="D38">SUM(VALUE(SUBSTITUTE(_xlfn.TEXTAFTER(_xlfn.TEXTSPLIT(C38,CHAR(10)),"-",-1),"km","")))</f>
        <v>526</v>
      </c>
      <c r="E38" s="11">
        <v>473</v>
      </c>
      <c r="F38" s="11">
        <f t="shared" si="1"/>
        <v>53</v>
      </c>
      <c r="G38" s="12">
        <f t="shared" si="2"/>
        <v>3.76146788990826</v>
      </c>
      <c r="H38" s="18">
        <v>4.1</v>
      </c>
      <c r="I38" s="17">
        <f t="shared" si="3"/>
        <v>1978.53211009174</v>
      </c>
      <c r="J38" s="17">
        <f t="shared" si="4"/>
        <v>2156.6</v>
      </c>
      <c r="K38" s="17">
        <v>3.2</v>
      </c>
      <c r="L38" s="17">
        <f t="shared" si="5"/>
        <v>1683.2</v>
      </c>
      <c r="M38" s="20"/>
      <c r="N38" s="11"/>
      <c r="O38" s="11" t="s">
        <v>56</v>
      </c>
    </row>
    <row r="39" ht="71.25" spans="1:15">
      <c r="A39" s="8">
        <v>38</v>
      </c>
      <c r="B39" s="26">
        <v>45850</v>
      </c>
      <c r="C39" s="11" t="s">
        <v>57</v>
      </c>
      <c r="D39" s="11" cm="1">
        <f t="array" ref="D39">SUM(VALUE(SUBSTITUTE(_xlfn.TEXTAFTER(_xlfn.TEXTSPLIT(C39,CHAR(10)),"-",-1),"km","")))</f>
        <v>201</v>
      </c>
      <c r="E39" s="11">
        <v>201</v>
      </c>
      <c r="F39" s="11">
        <f t="shared" si="1"/>
        <v>0</v>
      </c>
      <c r="G39" s="12">
        <f t="shared" si="2"/>
        <v>3.94495412844037</v>
      </c>
      <c r="H39" s="12">
        <v>4.3</v>
      </c>
      <c r="I39" s="17">
        <f t="shared" si="3"/>
        <v>792.935779816514</v>
      </c>
      <c r="J39" s="17">
        <f t="shared" si="4"/>
        <v>864.3</v>
      </c>
      <c r="K39" s="17">
        <v>3.5</v>
      </c>
      <c r="L39" s="17">
        <f t="shared" si="5"/>
        <v>703.5</v>
      </c>
      <c r="M39" s="20"/>
      <c r="N39" s="11"/>
      <c r="O39" s="11"/>
    </row>
    <row r="40" ht="71.25" spans="1:15">
      <c r="A40" s="8">
        <v>39</v>
      </c>
      <c r="B40" s="26"/>
      <c r="C40" s="11" t="s">
        <v>58</v>
      </c>
      <c r="D40" s="21" cm="1">
        <f t="array" ref="D40">SUM(VALUE(SUBSTITUTE(_xlfn.TEXTAFTER(_xlfn.TEXTSPLIT(C40,CHAR(10)),"-",-1),"km","")))</f>
        <v>251.4</v>
      </c>
      <c r="E40" s="11">
        <v>234.2</v>
      </c>
      <c r="F40" s="11">
        <f t="shared" si="1"/>
        <v>17.2</v>
      </c>
      <c r="G40" s="12">
        <f t="shared" si="2"/>
        <v>3.94495412844037</v>
      </c>
      <c r="H40" s="12">
        <v>4.3</v>
      </c>
      <c r="I40" s="17">
        <f t="shared" si="3"/>
        <v>991.761467889908</v>
      </c>
      <c r="J40" s="17">
        <f t="shared" si="4"/>
        <v>1081.02</v>
      </c>
      <c r="K40" s="17">
        <v>3.5</v>
      </c>
      <c r="L40" s="17">
        <f t="shared" si="5"/>
        <v>879.9</v>
      </c>
      <c r="M40" s="20"/>
      <c r="N40" s="11"/>
      <c r="O40" s="11"/>
    </row>
    <row r="41" ht="87" customHeight="1" spans="1:15">
      <c r="A41" s="8">
        <v>40</v>
      </c>
      <c r="B41" s="26"/>
      <c r="C41" s="11" t="s">
        <v>59</v>
      </c>
      <c r="D41" s="21" cm="1">
        <f t="array" ref="D41">SUM(VALUE(SUBSTITUTE(_xlfn.TEXTAFTER(_xlfn.TEXTSPLIT(C41,CHAR(10)),"-",-1),"km","")))</f>
        <v>163.2</v>
      </c>
      <c r="E41" s="11">
        <v>143</v>
      </c>
      <c r="F41" s="11">
        <f t="shared" si="1"/>
        <v>20.2</v>
      </c>
      <c r="G41" s="12">
        <f t="shared" si="2"/>
        <v>4.12844036697248</v>
      </c>
      <c r="H41" s="12">
        <v>4.5</v>
      </c>
      <c r="I41" s="17">
        <f t="shared" si="3"/>
        <v>673.761467889908</v>
      </c>
      <c r="J41" s="17">
        <f t="shared" si="4"/>
        <v>734.4</v>
      </c>
      <c r="K41" s="17">
        <v>3.5</v>
      </c>
      <c r="L41" s="17">
        <f t="shared" si="5"/>
        <v>571.2</v>
      </c>
      <c r="M41" s="20"/>
      <c r="N41" s="11"/>
      <c r="O41" s="11" t="s">
        <v>60</v>
      </c>
    </row>
    <row r="42" ht="85.5" spans="1:15">
      <c r="A42" s="8">
        <v>41</v>
      </c>
      <c r="B42" s="31">
        <v>45851</v>
      </c>
      <c r="C42" s="11" t="s">
        <v>61</v>
      </c>
      <c r="D42" s="21" cm="1">
        <f t="array" ref="D42">SUM(VALUE(SUBSTITUTE(_xlfn.TEXTAFTER(_xlfn.TEXTSPLIT(C42,CHAR(10)),"-",-1),"km","")))</f>
        <v>142.6</v>
      </c>
      <c r="E42" s="11">
        <v>117.1</v>
      </c>
      <c r="F42" s="11">
        <f t="shared" si="1"/>
        <v>25.5</v>
      </c>
      <c r="G42" s="12">
        <f t="shared" si="2"/>
        <v>4.12844036697248</v>
      </c>
      <c r="H42" s="12">
        <v>4.5</v>
      </c>
      <c r="I42" s="17">
        <f t="shared" si="3"/>
        <v>588.715596330275</v>
      </c>
      <c r="J42" s="17">
        <f t="shared" si="4"/>
        <v>641.7</v>
      </c>
      <c r="K42" s="17">
        <v>3.5</v>
      </c>
      <c r="L42" s="17">
        <f t="shared" si="5"/>
        <v>499.1</v>
      </c>
      <c r="M42" s="20"/>
      <c r="N42" s="11"/>
      <c r="O42" s="11" t="s">
        <v>62</v>
      </c>
    </row>
    <row r="43" ht="35" customHeight="1" spans="1:15">
      <c r="A43" s="8">
        <v>42</v>
      </c>
      <c r="B43" s="15"/>
      <c r="C43" s="32" t="s">
        <v>63</v>
      </c>
      <c r="D43" s="20" cm="1">
        <f t="array" ref="D43">SUM(VALUE(SUBSTITUTE(_xlfn.TEXTAFTER(_xlfn.TEXTSPLIT(C43,CHAR(10)),"-",-1),"km","")))</f>
        <v>362</v>
      </c>
      <c r="E43" s="11">
        <v>358</v>
      </c>
      <c r="F43" s="11">
        <f t="shared" si="1"/>
        <v>4</v>
      </c>
      <c r="G43" s="12">
        <f t="shared" si="2"/>
        <v>3.76146788990826</v>
      </c>
      <c r="H43" s="12">
        <v>4.1</v>
      </c>
      <c r="I43" s="17">
        <f t="shared" si="3"/>
        <v>1361.65137614679</v>
      </c>
      <c r="J43" s="17">
        <f t="shared" si="4"/>
        <v>1484.2</v>
      </c>
      <c r="K43" s="17">
        <v>3.2</v>
      </c>
      <c r="L43" s="17">
        <f t="shared" si="5"/>
        <v>1158.4</v>
      </c>
      <c r="M43" s="20"/>
      <c r="N43" s="11"/>
      <c r="O43" s="35" t="s">
        <v>64</v>
      </c>
    </row>
    <row r="44" ht="34" customHeight="1" spans="1:15">
      <c r="A44" s="8">
        <v>43</v>
      </c>
      <c r="B44" s="15"/>
      <c r="C44" s="32" t="s">
        <v>63</v>
      </c>
      <c r="D44" s="20" cm="1">
        <f t="array" ref="D44">SUM(VALUE(SUBSTITUTE(_xlfn.TEXTAFTER(_xlfn.TEXTSPLIT(C44,CHAR(10)),"-",-1),"km","")))</f>
        <v>362</v>
      </c>
      <c r="E44" s="11">
        <v>358</v>
      </c>
      <c r="F44" s="11">
        <f t="shared" si="1"/>
        <v>4</v>
      </c>
      <c r="G44" s="12">
        <f t="shared" si="2"/>
        <v>3.76146788990826</v>
      </c>
      <c r="H44" s="12">
        <v>4.1</v>
      </c>
      <c r="I44" s="17">
        <f t="shared" si="3"/>
        <v>1361.65137614679</v>
      </c>
      <c r="J44" s="17">
        <f t="shared" si="4"/>
        <v>1484.2</v>
      </c>
      <c r="K44" s="17">
        <v>3.2</v>
      </c>
      <c r="L44" s="17">
        <f t="shared" si="5"/>
        <v>1158.4</v>
      </c>
      <c r="M44" s="20"/>
      <c r="N44" s="11"/>
      <c r="O44" s="16"/>
    </row>
    <row r="45" ht="71.25" spans="1:15">
      <c r="A45" s="8">
        <v>44</v>
      </c>
      <c r="B45" s="31">
        <v>45852</v>
      </c>
      <c r="C45" s="11" t="s">
        <v>65</v>
      </c>
      <c r="D45" s="21" cm="1">
        <f t="array" ref="D45">SUM(VALUE(SUBSTITUTE(_xlfn.TEXTAFTER(_xlfn.TEXTSPLIT(C45,CHAR(10)),"-",-1),"km","")))</f>
        <v>251.4</v>
      </c>
      <c r="E45" s="11">
        <v>234.3</v>
      </c>
      <c r="F45" s="11">
        <f t="shared" si="1"/>
        <v>17.1</v>
      </c>
      <c r="G45" s="12">
        <f t="shared" si="2"/>
        <v>3.94495412844037</v>
      </c>
      <c r="H45" s="12">
        <v>4.3</v>
      </c>
      <c r="I45" s="17">
        <f t="shared" si="3"/>
        <v>991.761467889908</v>
      </c>
      <c r="J45" s="17">
        <f t="shared" si="4"/>
        <v>1081.02</v>
      </c>
      <c r="K45" s="17">
        <v>3.5</v>
      </c>
      <c r="L45" s="17">
        <f t="shared" si="5"/>
        <v>879.9</v>
      </c>
      <c r="M45" s="20"/>
      <c r="N45" s="11"/>
      <c r="O45" s="11"/>
    </row>
    <row r="46" ht="85.5" spans="1:15">
      <c r="A46" s="8">
        <v>45</v>
      </c>
      <c r="B46" s="15"/>
      <c r="C46" s="11" t="s">
        <v>66</v>
      </c>
      <c r="D46" s="21" cm="1">
        <f t="array" ref="D46">SUM(VALUE(SUBSTITUTE(_xlfn.TEXTAFTER(_xlfn.TEXTSPLIT(C46,CHAR(10)),"-",-1),"km","")))</f>
        <v>318</v>
      </c>
      <c r="E46" s="11">
        <v>319</v>
      </c>
      <c r="F46" s="11">
        <f t="shared" si="1"/>
        <v>-1</v>
      </c>
      <c r="G46" s="12">
        <f t="shared" si="2"/>
        <v>3.76146788990826</v>
      </c>
      <c r="H46" s="18">
        <v>4.1</v>
      </c>
      <c r="I46" s="17">
        <f t="shared" si="3"/>
        <v>1196.14678899083</v>
      </c>
      <c r="J46" s="17">
        <f t="shared" si="4"/>
        <v>1303.8</v>
      </c>
      <c r="K46" s="17">
        <v>3.2</v>
      </c>
      <c r="L46" s="17">
        <f t="shared" si="5"/>
        <v>1017.6</v>
      </c>
      <c r="M46" s="20"/>
      <c r="N46" s="11"/>
      <c r="O46" s="11"/>
    </row>
    <row r="47" ht="50" customHeight="1" spans="1:15">
      <c r="A47" s="8">
        <v>46</v>
      </c>
      <c r="B47" s="31">
        <v>45853</v>
      </c>
      <c r="C47" s="11" t="s">
        <v>67</v>
      </c>
      <c r="D47" s="21" cm="1">
        <f t="array" ref="D47">SUM(VALUE(SUBSTITUTE(_xlfn.TEXTAFTER(_xlfn.TEXTSPLIT(C47,CHAR(10)),"-",-1),"km","")))</f>
        <v>268</v>
      </c>
      <c r="E47" s="11">
        <v>262</v>
      </c>
      <c r="F47" s="11">
        <f t="shared" si="1"/>
        <v>6</v>
      </c>
      <c r="G47" s="12">
        <f t="shared" si="2"/>
        <v>3.94495412844037</v>
      </c>
      <c r="H47" s="12">
        <v>4.3</v>
      </c>
      <c r="I47" s="17">
        <f t="shared" si="3"/>
        <v>1057.24770642202</v>
      </c>
      <c r="J47" s="17">
        <f t="shared" si="4"/>
        <v>1152.4</v>
      </c>
      <c r="K47" s="17">
        <v>3.5</v>
      </c>
      <c r="L47" s="17">
        <f t="shared" si="5"/>
        <v>938</v>
      </c>
      <c r="M47" s="20"/>
      <c r="N47" s="11"/>
      <c r="O47" s="11"/>
    </row>
    <row r="48" ht="42.75" spans="1:15">
      <c r="A48" s="8">
        <v>47</v>
      </c>
      <c r="B48" s="15"/>
      <c r="C48" s="11" t="s">
        <v>68</v>
      </c>
      <c r="D48" s="20" cm="1">
        <f t="array" ref="D48">SUM(VALUE(SUBSTITUTE(_xlfn.TEXTAFTER(_xlfn.TEXTSPLIT(C48,CHAR(10)),"-",-1),"km","")))</f>
        <v>265</v>
      </c>
      <c r="E48" s="11">
        <v>268</v>
      </c>
      <c r="F48" s="11">
        <f t="shared" si="1"/>
        <v>-3</v>
      </c>
      <c r="G48" s="12">
        <f t="shared" si="2"/>
        <v>3.94495412844037</v>
      </c>
      <c r="H48" s="12">
        <v>4.3</v>
      </c>
      <c r="I48" s="17">
        <f t="shared" si="3"/>
        <v>1045.4128440367</v>
      </c>
      <c r="J48" s="17">
        <f t="shared" si="4"/>
        <v>1139.5</v>
      </c>
      <c r="K48" s="17">
        <v>3.5</v>
      </c>
      <c r="L48" s="17">
        <f t="shared" si="5"/>
        <v>927.5</v>
      </c>
      <c r="M48" s="20"/>
      <c r="N48" s="11"/>
      <c r="O48" s="11"/>
    </row>
    <row r="49" ht="57" spans="1:15">
      <c r="A49" s="8">
        <v>48</v>
      </c>
      <c r="B49" s="15"/>
      <c r="C49" s="11" t="s">
        <v>69</v>
      </c>
      <c r="D49" s="20" cm="1">
        <f t="array" ref="D49">SUM(VALUE(SUBSTITUTE(_xlfn.TEXTAFTER(_xlfn.TEXTSPLIT(C49,CHAR(10)),"-",-1),"km","")))</f>
        <v>323</v>
      </c>
      <c r="E49" s="11">
        <v>319</v>
      </c>
      <c r="F49" s="11">
        <f t="shared" si="1"/>
        <v>4</v>
      </c>
      <c r="G49" s="12">
        <f t="shared" si="2"/>
        <v>3.76146788990826</v>
      </c>
      <c r="H49" s="18">
        <v>4.1</v>
      </c>
      <c r="I49" s="17">
        <f t="shared" si="3"/>
        <v>1214.95412844037</v>
      </c>
      <c r="J49" s="17">
        <f t="shared" si="4"/>
        <v>1324.3</v>
      </c>
      <c r="K49" s="17">
        <v>3.2</v>
      </c>
      <c r="L49" s="17">
        <f t="shared" si="5"/>
        <v>1033.6</v>
      </c>
      <c r="M49" s="20"/>
      <c r="N49" s="11"/>
      <c r="O49" s="11"/>
    </row>
    <row r="50" ht="57" spans="1:15">
      <c r="A50" s="8">
        <v>49</v>
      </c>
      <c r="B50" s="31">
        <v>45854</v>
      </c>
      <c r="C50" s="11" t="s">
        <v>70</v>
      </c>
      <c r="D50" s="21" cm="1">
        <f t="array" ref="D50">SUM(VALUE(SUBSTITUTE(_xlfn.TEXTAFTER(_xlfn.TEXTSPLIT(C50,CHAR(10)),"-",-1),"km","")))</f>
        <v>153</v>
      </c>
      <c r="E50" s="11">
        <v>129</v>
      </c>
      <c r="F50" s="11">
        <f t="shared" si="1"/>
        <v>24</v>
      </c>
      <c r="G50" s="12">
        <f t="shared" si="2"/>
        <v>4.12844036697248</v>
      </c>
      <c r="H50" s="12">
        <v>4.5</v>
      </c>
      <c r="I50" s="17">
        <f t="shared" si="3"/>
        <v>631.651376146789</v>
      </c>
      <c r="J50" s="17">
        <f t="shared" si="4"/>
        <v>688.5</v>
      </c>
      <c r="K50" s="17">
        <v>3.5</v>
      </c>
      <c r="L50" s="17">
        <f t="shared" si="5"/>
        <v>535.5</v>
      </c>
      <c r="M50" s="20"/>
      <c r="N50" s="11"/>
      <c r="O50" s="11"/>
    </row>
    <row r="51" ht="85.5" spans="1:15">
      <c r="A51" s="8">
        <v>50</v>
      </c>
      <c r="B51" s="15"/>
      <c r="C51" s="11" t="s">
        <v>71</v>
      </c>
      <c r="D51" s="21" cm="1">
        <f t="array" ref="D51">SUM(VALUE(SUBSTITUTE(_xlfn.TEXTAFTER(_xlfn.TEXTSPLIT(C51,CHAR(10)),"-",-1),"km","")))</f>
        <v>275.4</v>
      </c>
      <c r="E51" s="11">
        <v>259</v>
      </c>
      <c r="F51" s="11">
        <f t="shared" si="1"/>
        <v>16.4</v>
      </c>
      <c r="G51" s="12">
        <f t="shared" si="2"/>
        <v>3.94495412844037</v>
      </c>
      <c r="H51" s="12">
        <v>4.3</v>
      </c>
      <c r="I51" s="17">
        <f t="shared" si="3"/>
        <v>1086.44036697248</v>
      </c>
      <c r="J51" s="17">
        <f t="shared" si="4"/>
        <v>1184.22</v>
      </c>
      <c r="K51" s="17">
        <v>3.5</v>
      </c>
      <c r="L51" s="17">
        <f t="shared" si="5"/>
        <v>963.9</v>
      </c>
      <c r="M51" s="20"/>
      <c r="N51" s="11"/>
      <c r="O51" s="11"/>
    </row>
    <row r="52" ht="114" spans="1:15">
      <c r="A52" s="8">
        <v>51</v>
      </c>
      <c r="B52" s="15"/>
      <c r="C52" s="11" t="s">
        <v>72</v>
      </c>
      <c r="D52" s="21" cm="1">
        <f t="array" ref="D52">SUM(VALUE(SUBSTITUTE(_xlfn.TEXTAFTER(_xlfn.TEXTSPLIT(C52,CHAR(10)),"-",-1),"km","")))</f>
        <v>339.6</v>
      </c>
      <c r="E52" s="11">
        <v>321.2</v>
      </c>
      <c r="F52" s="11">
        <f t="shared" si="1"/>
        <v>18.4</v>
      </c>
      <c r="G52" s="12">
        <f t="shared" si="2"/>
        <v>3.76146788990826</v>
      </c>
      <c r="H52" s="18">
        <v>4.1</v>
      </c>
      <c r="I52" s="17">
        <f t="shared" si="3"/>
        <v>1277.39449541284</v>
      </c>
      <c r="J52" s="17">
        <f t="shared" si="4"/>
        <v>1392.36</v>
      </c>
      <c r="K52" s="17">
        <v>3.2</v>
      </c>
      <c r="L52" s="17">
        <f t="shared" si="5"/>
        <v>1086.72</v>
      </c>
      <c r="M52" s="20"/>
      <c r="N52" s="11"/>
      <c r="O52" s="11"/>
    </row>
    <row r="53" ht="130" customHeight="1" spans="1:15">
      <c r="A53" s="8">
        <v>52</v>
      </c>
      <c r="B53" s="31">
        <v>45855</v>
      </c>
      <c r="C53" s="11" t="s">
        <v>73</v>
      </c>
      <c r="D53" s="21" cm="1">
        <f t="array" ref="D53">SUM(VALUE(SUBSTITUTE(_xlfn.TEXTAFTER(_xlfn.TEXTSPLIT(C53,CHAR(10)),"-",-1),"km","")))</f>
        <v>436.9</v>
      </c>
      <c r="E53" s="33">
        <v>411.8</v>
      </c>
      <c r="F53" s="11">
        <f t="shared" si="1"/>
        <v>25.1</v>
      </c>
      <c r="G53" s="12">
        <f t="shared" si="2"/>
        <v>3.76146788990826</v>
      </c>
      <c r="H53" s="18">
        <v>4.1</v>
      </c>
      <c r="I53" s="17">
        <f t="shared" si="3"/>
        <v>1643.38532110092</v>
      </c>
      <c r="J53" s="17">
        <f t="shared" si="4"/>
        <v>1791.29</v>
      </c>
      <c r="K53" s="17">
        <v>3.2</v>
      </c>
      <c r="L53" s="17">
        <f t="shared" si="5"/>
        <v>1398.08</v>
      </c>
      <c r="M53" s="20"/>
      <c r="N53" s="11"/>
      <c r="O53" s="11"/>
    </row>
    <row r="54" ht="93" customHeight="1" spans="1:15">
      <c r="A54" s="8">
        <v>53</v>
      </c>
      <c r="B54" s="31">
        <v>45856</v>
      </c>
      <c r="C54" s="11" t="s">
        <v>74</v>
      </c>
      <c r="D54" s="20" cm="1">
        <f t="array" ref="D54">SUM(VALUE(SUBSTITUTE(_xlfn.TEXTAFTER(_xlfn.TEXTSPLIT(C54,CHAR(10)),"-",-1),"km","")))</f>
        <v>225</v>
      </c>
      <c r="E54" s="11">
        <v>209</v>
      </c>
      <c r="F54" s="11">
        <f t="shared" si="1"/>
        <v>16</v>
      </c>
      <c r="G54" s="12">
        <f t="shared" si="2"/>
        <v>3.94495412844037</v>
      </c>
      <c r="H54" s="12">
        <v>4.3</v>
      </c>
      <c r="I54" s="17">
        <f t="shared" si="3"/>
        <v>887.614678899082</v>
      </c>
      <c r="J54" s="17">
        <f t="shared" si="4"/>
        <v>967.5</v>
      </c>
      <c r="K54" s="17">
        <v>3.5</v>
      </c>
      <c r="L54" s="17">
        <f t="shared" si="5"/>
        <v>787.5</v>
      </c>
      <c r="M54" s="20"/>
      <c r="N54" s="11"/>
      <c r="O54" s="11"/>
    </row>
    <row r="55" ht="98" customHeight="1" spans="1:15">
      <c r="A55" s="8">
        <v>54</v>
      </c>
      <c r="B55" s="15"/>
      <c r="C55" s="32" t="s">
        <v>75</v>
      </c>
      <c r="D55" s="20" cm="1">
        <f t="array" ref="D55">SUM(VALUE(SUBSTITUTE(_xlfn.TEXTAFTER(_xlfn.TEXTSPLIT(C55,CHAR(10)),"-",-1),"km","")))</f>
        <v>389</v>
      </c>
      <c r="E55" s="11">
        <v>321</v>
      </c>
      <c r="F55" s="11">
        <f t="shared" si="1"/>
        <v>68</v>
      </c>
      <c r="G55" s="12">
        <f t="shared" si="2"/>
        <v>3.76146788990826</v>
      </c>
      <c r="H55" s="18">
        <v>4.1</v>
      </c>
      <c r="I55" s="17">
        <f t="shared" si="3"/>
        <v>1463.21100917431</v>
      </c>
      <c r="J55" s="17">
        <f t="shared" si="4"/>
        <v>1594.9</v>
      </c>
      <c r="K55" s="17">
        <v>3.2</v>
      </c>
      <c r="L55" s="17">
        <f t="shared" si="5"/>
        <v>1244.8</v>
      </c>
      <c r="M55" s="20"/>
      <c r="N55" s="11"/>
      <c r="O55" s="11" t="s">
        <v>76</v>
      </c>
    </row>
    <row r="56" ht="98" customHeight="1" spans="1:15">
      <c r="A56" s="8">
        <v>55</v>
      </c>
      <c r="B56" s="15"/>
      <c r="C56" s="11" t="s">
        <v>77</v>
      </c>
      <c r="D56" s="20" cm="1">
        <f t="array" ref="D56">SUM(VALUE(SUBSTITUTE(_xlfn.TEXTAFTER(_xlfn.TEXTSPLIT(C56,CHAR(10)),"-",-1),"km","")))</f>
        <v>176.5</v>
      </c>
      <c r="E56" s="11">
        <v>173.8</v>
      </c>
      <c r="F56" s="11">
        <f t="shared" si="1"/>
        <v>2.69999999999999</v>
      </c>
      <c r="G56" s="12">
        <f t="shared" si="2"/>
        <v>4.12844036697248</v>
      </c>
      <c r="H56" s="18">
        <v>4.5</v>
      </c>
      <c r="I56" s="17">
        <f t="shared" si="3"/>
        <v>728.669724770642</v>
      </c>
      <c r="J56" s="17">
        <f t="shared" si="4"/>
        <v>794.25</v>
      </c>
      <c r="K56" s="17">
        <v>3.5</v>
      </c>
      <c r="L56" s="17">
        <f t="shared" si="5"/>
        <v>617.75</v>
      </c>
      <c r="M56" s="20"/>
      <c r="N56" s="11"/>
      <c r="O56" s="11"/>
    </row>
    <row r="57" ht="98" customHeight="1" spans="1:15">
      <c r="A57" s="8">
        <v>56</v>
      </c>
      <c r="B57" s="15"/>
      <c r="C57" s="11" t="s">
        <v>78</v>
      </c>
      <c r="D57" s="21" cm="1">
        <f t="array" ref="D57">SUM(VALUE(SUBSTITUTE(_xlfn.TEXTAFTER(_xlfn.TEXTSPLIT(C57,CHAR(10)),"-",-1),"km","")))</f>
        <v>227.4</v>
      </c>
      <c r="E57" s="11">
        <v>222.3</v>
      </c>
      <c r="F57" s="11">
        <f t="shared" si="1"/>
        <v>5.09999999999999</v>
      </c>
      <c r="G57" s="12">
        <f t="shared" si="2"/>
        <v>3.94495412844037</v>
      </c>
      <c r="H57" s="18">
        <v>4.3</v>
      </c>
      <c r="I57" s="17">
        <f t="shared" si="3"/>
        <v>897.082568807339</v>
      </c>
      <c r="J57" s="17">
        <f t="shared" si="4"/>
        <v>977.82</v>
      </c>
      <c r="K57" s="17">
        <v>3.5</v>
      </c>
      <c r="L57" s="17">
        <f t="shared" si="5"/>
        <v>795.9</v>
      </c>
      <c r="M57" s="20"/>
      <c r="N57" s="11"/>
      <c r="O57" s="11"/>
    </row>
    <row r="58" ht="57" spans="1:15">
      <c r="A58" s="8">
        <v>57</v>
      </c>
      <c r="B58" s="10">
        <v>45857</v>
      </c>
      <c r="C58" s="11" t="s">
        <v>79</v>
      </c>
      <c r="D58" s="11" cm="1">
        <f t="array" ref="D58">SUM(VALUE(SUBSTITUTE(_xlfn.TEXTAFTER(_xlfn.TEXTSPLIT(C58,CHAR(10)),"-",-1),"km","")))</f>
        <v>554</v>
      </c>
      <c r="E58" s="11">
        <v>551</v>
      </c>
      <c r="F58" s="11">
        <f t="shared" si="1"/>
        <v>3</v>
      </c>
      <c r="G58" s="12">
        <f t="shared" si="2"/>
        <v>3.76146788990826</v>
      </c>
      <c r="H58" s="18">
        <v>4.1</v>
      </c>
      <c r="I58" s="17">
        <f t="shared" si="3"/>
        <v>2083.85321100917</v>
      </c>
      <c r="J58" s="17">
        <f t="shared" si="4"/>
        <v>2271.4</v>
      </c>
      <c r="K58" s="17">
        <v>3.2</v>
      </c>
      <c r="L58" s="17">
        <f t="shared" si="5"/>
        <v>1772.8</v>
      </c>
      <c r="M58" s="20"/>
      <c r="N58" s="11"/>
      <c r="O58" s="11"/>
    </row>
    <row r="59" ht="71.25" spans="1:15">
      <c r="A59" s="8">
        <v>58</v>
      </c>
      <c r="B59" s="13"/>
      <c r="C59" s="11" t="s">
        <v>80</v>
      </c>
      <c r="D59" s="11" cm="1">
        <f t="array" ref="D59">SUM(VALUE(SUBSTITUTE(_xlfn.TEXTAFTER(_xlfn.TEXTSPLIT(C59,CHAR(10)),"-",-1),"km","")))</f>
        <v>330.3</v>
      </c>
      <c r="E59" s="11">
        <v>327.1</v>
      </c>
      <c r="F59" s="11">
        <f t="shared" si="1"/>
        <v>3.19999999999999</v>
      </c>
      <c r="G59" s="12">
        <f t="shared" si="2"/>
        <v>3.76146788990826</v>
      </c>
      <c r="H59" s="18">
        <v>4.1</v>
      </c>
      <c r="I59" s="17">
        <f t="shared" si="3"/>
        <v>1242.4128440367</v>
      </c>
      <c r="J59" s="17">
        <f t="shared" si="4"/>
        <v>1354.23</v>
      </c>
      <c r="K59" s="17">
        <v>3.2</v>
      </c>
      <c r="L59" s="17">
        <f t="shared" si="5"/>
        <v>1056.96</v>
      </c>
      <c r="M59" s="20"/>
      <c r="N59" s="11"/>
      <c r="O59" s="11"/>
    </row>
    <row r="60" ht="99" customHeight="1" spans="1:15">
      <c r="A60" s="8">
        <v>59</v>
      </c>
      <c r="B60" s="13"/>
      <c r="C60" s="11" t="s">
        <v>81</v>
      </c>
      <c r="D60" s="20" cm="1">
        <f t="array" ref="D60">SUM(VALUE(SUBSTITUTE(_xlfn.TEXTAFTER(_xlfn.TEXTSPLIT(C60,CHAR(10)),"-",-1),"km","")))</f>
        <v>341.4</v>
      </c>
      <c r="E60" s="11">
        <v>338.7</v>
      </c>
      <c r="F60" s="11">
        <f t="shared" si="1"/>
        <v>2.69999999999999</v>
      </c>
      <c r="G60" s="12">
        <f t="shared" si="2"/>
        <v>3.76146788990826</v>
      </c>
      <c r="H60" s="18">
        <v>4.1</v>
      </c>
      <c r="I60" s="17">
        <f t="shared" si="3"/>
        <v>1284.16513761468</v>
      </c>
      <c r="J60" s="17">
        <f t="shared" si="4"/>
        <v>1399.74</v>
      </c>
      <c r="K60" s="17">
        <v>3.2</v>
      </c>
      <c r="L60" s="17">
        <f t="shared" si="5"/>
        <v>1092.48</v>
      </c>
      <c r="M60" s="20"/>
      <c r="N60" s="11"/>
      <c r="O60" s="11"/>
    </row>
    <row r="61" ht="42" customHeight="1" spans="1:15">
      <c r="A61" s="8">
        <v>60</v>
      </c>
      <c r="B61" s="22">
        <v>45858</v>
      </c>
      <c r="C61" s="11" t="s">
        <v>82</v>
      </c>
      <c r="D61" s="20" cm="1">
        <f t="array" ref="D61">SUM(VALUE(SUBSTITUTE(_xlfn.TEXTAFTER(_xlfn.TEXTSPLIT(C61,CHAR(10)),"-",-1),"km","")))</f>
        <v>150</v>
      </c>
      <c r="E61" s="11">
        <v>150</v>
      </c>
      <c r="F61" s="11">
        <f t="shared" si="1"/>
        <v>0</v>
      </c>
      <c r="G61" s="12">
        <f t="shared" si="2"/>
        <v>4.12844036697248</v>
      </c>
      <c r="H61" s="18">
        <v>4.5</v>
      </c>
      <c r="I61" s="17">
        <f t="shared" si="3"/>
        <v>619.266055045872</v>
      </c>
      <c r="J61" s="17">
        <f t="shared" si="4"/>
        <v>675</v>
      </c>
      <c r="K61" s="17">
        <v>3.5</v>
      </c>
      <c r="L61" s="17">
        <f t="shared" si="5"/>
        <v>525</v>
      </c>
      <c r="M61" s="20"/>
      <c r="N61" s="11"/>
      <c r="O61" s="11"/>
    </row>
    <row r="62" ht="106" customHeight="1" spans="1:15">
      <c r="A62" s="8">
        <v>61</v>
      </c>
      <c r="B62" s="22"/>
      <c r="C62" s="11" t="s">
        <v>83</v>
      </c>
      <c r="D62" s="21" cm="1">
        <f t="array" ref="D62">SUM(VALUE(SUBSTITUTE(_xlfn.TEXTAFTER(_xlfn.TEXTSPLIT(C62,CHAR(10)),"-",-1),"km","")))</f>
        <v>153.7</v>
      </c>
      <c r="E62" s="11">
        <v>113</v>
      </c>
      <c r="F62" s="11">
        <f t="shared" si="1"/>
        <v>40.7</v>
      </c>
      <c r="G62" s="12">
        <f t="shared" si="2"/>
        <v>4.12844036697248</v>
      </c>
      <c r="H62" s="12">
        <v>4.5</v>
      </c>
      <c r="I62" s="17">
        <f t="shared" si="3"/>
        <v>634.54128440367</v>
      </c>
      <c r="J62" s="17">
        <f t="shared" si="4"/>
        <v>691.65</v>
      </c>
      <c r="K62" s="17">
        <v>3.5</v>
      </c>
      <c r="L62" s="17">
        <f t="shared" si="5"/>
        <v>537.95</v>
      </c>
      <c r="M62" s="20"/>
      <c r="N62" s="11"/>
      <c r="O62" s="11" t="s">
        <v>84</v>
      </c>
    </row>
    <row r="63" ht="153" customHeight="1" spans="1:15">
      <c r="A63" s="8">
        <v>62</v>
      </c>
      <c r="B63" s="22"/>
      <c r="C63" s="11" t="s">
        <v>85</v>
      </c>
      <c r="D63" s="21" cm="1">
        <f t="array" ref="D63">SUM(VALUE(SUBSTITUTE(_xlfn.TEXTAFTER(_xlfn.TEXTSPLIT(C63,CHAR(10)),"-",-1),"km","")))</f>
        <v>257.3</v>
      </c>
      <c r="E63" s="11">
        <v>220</v>
      </c>
      <c r="F63" s="11">
        <f t="shared" si="1"/>
        <v>37.3</v>
      </c>
      <c r="G63" s="12">
        <f t="shared" si="2"/>
        <v>3.94495412844037</v>
      </c>
      <c r="H63" s="12">
        <v>4.3</v>
      </c>
      <c r="I63" s="17">
        <f t="shared" si="3"/>
        <v>1015.03669724771</v>
      </c>
      <c r="J63" s="17">
        <f t="shared" si="4"/>
        <v>1106.39</v>
      </c>
      <c r="K63" s="17">
        <v>3.5</v>
      </c>
      <c r="L63" s="17">
        <f t="shared" si="5"/>
        <v>900.55</v>
      </c>
      <c r="M63" s="20"/>
      <c r="N63" s="11"/>
      <c r="O63" s="11" t="s">
        <v>86</v>
      </c>
    </row>
    <row r="64" ht="58" customHeight="1" spans="1:15">
      <c r="A64" s="8">
        <v>63</v>
      </c>
      <c r="B64" s="22"/>
      <c r="C64" s="11" t="s">
        <v>87</v>
      </c>
      <c r="D64" s="11" cm="1">
        <f t="array" ref="D64">SUM(VALUE(SUBSTITUTE(_xlfn.TEXTAFTER(_xlfn.TEXTSPLIT(C64,CHAR(10)),"-",-1),"km","")))</f>
        <v>319</v>
      </c>
      <c r="E64" s="11">
        <v>319</v>
      </c>
      <c r="F64" s="11">
        <f t="shared" si="1"/>
        <v>0</v>
      </c>
      <c r="G64" s="12">
        <f t="shared" si="2"/>
        <v>3.76146788990826</v>
      </c>
      <c r="H64" s="12">
        <v>4.1</v>
      </c>
      <c r="I64" s="17">
        <f t="shared" si="3"/>
        <v>1199.90825688073</v>
      </c>
      <c r="J64" s="17">
        <f t="shared" si="4"/>
        <v>1307.9</v>
      </c>
      <c r="K64" s="17">
        <v>3.2</v>
      </c>
      <c r="L64" s="17">
        <f t="shared" si="5"/>
        <v>1020.8</v>
      </c>
      <c r="M64" s="20"/>
      <c r="N64" s="11"/>
      <c r="O64" s="11"/>
    </row>
    <row r="65" ht="58" customHeight="1" spans="1:15">
      <c r="A65" s="8">
        <v>64</v>
      </c>
      <c r="B65" s="26">
        <v>45859</v>
      </c>
      <c r="C65" s="23" t="s">
        <v>88</v>
      </c>
      <c r="D65" s="11" cm="1">
        <f t="array" ref="D65">SUM(VALUE(SUBSTITUTE(_xlfn.TEXTAFTER(_xlfn.TEXTSPLIT(C65,CHAR(10)),"-",-1),"km","")))</f>
        <v>249</v>
      </c>
      <c r="E65" s="11">
        <v>252</v>
      </c>
      <c r="F65" s="11">
        <f t="shared" si="1"/>
        <v>-3</v>
      </c>
      <c r="G65" s="12">
        <f t="shared" si="2"/>
        <v>3.94495412844037</v>
      </c>
      <c r="H65" s="12">
        <v>4.3</v>
      </c>
      <c r="I65" s="17">
        <f t="shared" si="3"/>
        <v>982.293577981651</v>
      </c>
      <c r="J65" s="17">
        <f t="shared" si="4"/>
        <v>1070.7</v>
      </c>
      <c r="K65" s="17">
        <v>3.5</v>
      </c>
      <c r="L65" s="17">
        <f t="shared" si="5"/>
        <v>871.5</v>
      </c>
      <c r="M65" s="20"/>
      <c r="N65" s="11"/>
      <c r="O65" s="35" t="s">
        <v>89</v>
      </c>
    </row>
    <row r="66" ht="58" customHeight="1" spans="1:15">
      <c r="A66" s="8">
        <v>65</v>
      </c>
      <c r="B66" s="26"/>
      <c r="C66" s="23" t="s">
        <v>90</v>
      </c>
      <c r="D66" s="11" cm="1">
        <f t="array" ref="D66">SUM(VALUE(SUBSTITUTE(_xlfn.TEXTAFTER(_xlfn.TEXTSPLIT(C66,CHAR(10)),"-",-1),"km","")))</f>
        <v>245</v>
      </c>
      <c r="E66" s="11">
        <v>228</v>
      </c>
      <c r="F66" s="11">
        <f t="shared" si="1"/>
        <v>17</v>
      </c>
      <c r="G66" s="12">
        <f t="shared" si="2"/>
        <v>3.94495412844037</v>
      </c>
      <c r="H66" s="12">
        <v>4.3</v>
      </c>
      <c r="I66" s="17">
        <f t="shared" si="3"/>
        <v>966.51376146789</v>
      </c>
      <c r="J66" s="17">
        <f t="shared" si="4"/>
        <v>1053.5</v>
      </c>
      <c r="K66" s="17">
        <v>3.5</v>
      </c>
      <c r="L66" s="17">
        <f t="shared" si="5"/>
        <v>857.5</v>
      </c>
      <c r="M66" s="20"/>
      <c r="N66" s="11"/>
      <c r="O66" s="38"/>
    </row>
    <row r="67" ht="58" customHeight="1" spans="1:15">
      <c r="A67" s="8">
        <v>66</v>
      </c>
      <c r="B67" s="26"/>
      <c r="C67" s="23" t="s">
        <v>91</v>
      </c>
      <c r="D67" s="11" cm="1">
        <f t="array" ref="D67">SUM(VALUE(SUBSTITUTE(_xlfn.TEXTAFTER(_xlfn.TEXTSPLIT(C67,CHAR(10)),"-",-1),"km","")))</f>
        <v>191</v>
      </c>
      <c r="E67" s="11">
        <v>188.2</v>
      </c>
      <c r="F67" s="11">
        <f t="shared" si="1"/>
        <v>2.80000000000001</v>
      </c>
      <c r="G67" s="12">
        <f t="shared" si="2"/>
        <v>4.12844036697248</v>
      </c>
      <c r="H67" s="12">
        <v>4.5</v>
      </c>
      <c r="I67" s="17">
        <f t="shared" si="3"/>
        <v>788.532110091743</v>
      </c>
      <c r="J67" s="17">
        <f t="shared" si="4"/>
        <v>859.5</v>
      </c>
      <c r="K67" s="17">
        <v>3.5</v>
      </c>
      <c r="L67" s="17">
        <f t="shared" si="5"/>
        <v>668.5</v>
      </c>
      <c r="M67" s="20"/>
      <c r="N67" s="11"/>
      <c r="O67" s="38"/>
    </row>
    <row r="68" ht="58" customHeight="1" spans="1:15">
      <c r="A68" s="8">
        <v>67</v>
      </c>
      <c r="B68" s="26"/>
      <c r="C68" s="23" t="s">
        <v>92</v>
      </c>
      <c r="D68" s="11" cm="1">
        <f t="array" ref="D68">SUM(VALUE(SUBSTITUTE(_xlfn.TEXTAFTER(_xlfn.TEXTSPLIT(C68,CHAR(10)),"-",-1),"km","")))</f>
        <v>179.4</v>
      </c>
      <c r="E68" s="11">
        <v>178</v>
      </c>
      <c r="F68" s="11">
        <f t="shared" si="1"/>
        <v>1.40000000000001</v>
      </c>
      <c r="G68" s="12">
        <f t="shared" si="2"/>
        <v>4.12844036697248</v>
      </c>
      <c r="H68" s="12">
        <v>4.5</v>
      </c>
      <c r="I68" s="17">
        <f t="shared" si="3"/>
        <v>740.642201834862</v>
      </c>
      <c r="J68" s="17">
        <f t="shared" si="4"/>
        <v>807.3</v>
      </c>
      <c r="K68" s="17">
        <v>3.5</v>
      </c>
      <c r="L68" s="17">
        <f t="shared" si="5"/>
        <v>627.9</v>
      </c>
      <c r="M68" s="20"/>
      <c r="N68" s="11"/>
      <c r="O68" s="16"/>
    </row>
    <row r="69" ht="71.25" spans="1:15">
      <c r="A69" s="8">
        <v>68</v>
      </c>
      <c r="B69" s="31">
        <v>45860</v>
      </c>
      <c r="C69" s="11" t="s">
        <v>93</v>
      </c>
      <c r="D69" s="20" cm="1">
        <f t="array" ref="D69">SUM(VALUE(SUBSTITUTE(_xlfn.TEXTAFTER(_xlfn.TEXTSPLIT(C69,CHAR(10)),"-",-1),"km","")))</f>
        <v>290.4</v>
      </c>
      <c r="E69" s="11">
        <v>288.7</v>
      </c>
      <c r="F69" s="11">
        <f t="shared" si="1"/>
        <v>1.69999999999999</v>
      </c>
      <c r="G69" s="12">
        <f t="shared" si="2"/>
        <v>3.94495412844037</v>
      </c>
      <c r="H69" s="12">
        <v>4.3</v>
      </c>
      <c r="I69" s="17">
        <f t="shared" si="3"/>
        <v>1145.61467889908</v>
      </c>
      <c r="J69" s="17">
        <f t="shared" si="4"/>
        <v>1248.72</v>
      </c>
      <c r="K69" s="17">
        <v>3.5</v>
      </c>
      <c r="L69" s="17">
        <f t="shared" si="5"/>
        <v>1016.4</v>
      </c>
      <c r="M69" s="20"/>
      <c r="N69" s="11"/>
      <c r="O69" s="11"/>
    </row>
    <row r="70" ht="71.25" spans="1:15">
      <c r="A70" s="8">
        <v>69</v>
      </c>
      <c r="B70" s="15"/>
      <c r="C70" s="11" t="s">
        <v>94</v>
      </c>
      <c r="D70" s="21" cm="1">
        <f t="array" ref="D70">SUM(VALUE(SUBSTITUTE(_xlfn.TEXTAFTER(_xlfn.TEXTSPLIT(C70,CHAR(10)),"-",-1),"km","")))</f>
        <v>346</v>
      </c>
      <c r="E70" s="11">
        <v>340</v>
      </c>
      <c r="F70" s="11">
        <f t="shared" si="1"/>
        <v>6</v>
      </c>
      <c r="G70" s="12">
        <f>H70/1.09</f>
        <v>3.76146788990826</v>
      </c>
      <c r="H70" s="18">
        <v>4.1</v>
      </c>
      <c r="I70" s="17">
        <f>D70*G70</f>
        <v>1301.46788990826</v>
      </c>
      <c r="J70" s="17">
        <f>D70*H70</f>
        <v>1418.6</v>
      </c>
      <c r="K70" s="17">
        <v>3.2</v>
      </c>
      <c r="L70" s="17">
        <f>D70*K70</f>
        <v>1107.2</v>
      </c>
      <c r="M70" s="20"/>
      <c r="N70" s="11"/>
      <c r="O70" s="11"/>
    </row>
    <row r="71" ht="57" spans="1:15">
      <c r="A71" s="8">
        <v>70</v>
      </c>
      <c r="B71" s="15"/>
      <c r="C71" s="11" t="s">
        <v>95</v>
      </c>
      <c r="D71" s="21" cm="1">
        <f t="array" ref="D71">SUM(VALUE(SUBSTITUTE(_xlfn.TEXTAFTER(_xlfn.TEXTSPLIT(C71,CHAR(10)),"-",-1),"km","")))</f>
        <v>261</v>
      </c>
      <c r="E71" s="11">
        <v>248.4</v>
      </c>
      <c r="F71" s="11">
        <f t="shared" si="1"/>
        <v>12.6</v>
      </c>
      <c r="G71" s="12">
        <f>H71/1.09</f>
        <v>3.94495412844037</v>
      </c>
      <c r="H71" s="12">
        <v>4.3</v>
      </c>
      <c r="I71" s="17">
        <f>D71*G71</f>
        <v>1029.63302752294</v>
      </c>
      <c r="J71" s="17">
        <f>D71*H71</f>
        <v>1122.3</v>
      </c>
      <c r="K71" s="17">
        <v>3.5</v>
      </c>
      <c r="L71" s="17">
        <f>D71*K71</f>
        <v>913.5</v>
      </c>
      <c r="M71" s="20"/>
      <c r="N71" s="11"/>
      <c r="O71" s="11" t="s">
        <v>96</v>
      </c>
    </row>
    <row r="72" ht="69" customHeight="1" spans="1:15">
      <c r="A72" s="8">
        <v>71</v>
      </c>
      <c r="B72" s="37"/>
      <c r="C72" s="11" t="s">
        <v>97</v>
      </c>
      <c r="D72" s="20" cm="1">
        <f t="array" ref="D72">SUM(VALUE(SUBSTITUTE(_xlfn.TEXTAFTER(_xlfn.TEXTSPLIT(C72,CHAR(10)),"-",-1),"km","")))</f>
        <v>181</v>
      </c>
      <c r="E72" s="11">
        <v>176</v>
      </c>
      <c r="F72" s="11">
        <f t="shared" si="1"/>
        <v>5</v>
      </c>
      <c r="G72" s="12">
        <f>H72/1.09</f>
        <v>4.12844036697248</v>
      </c>
      <c r="H72" s="12">
        <v>4.5</v>
      </c>
      <c r="I72" s="17">
        <f>D72*G72</f>
        <v>747.247706422019</v>
      </c>
      <c r="J72" s="17">
        <f>D72*H72</f>
        <v>814.5</v>
      </c>
      <c r="K72" s="17">
        <v>3.5</v>
      </c>
      <c r="L72" s="17">
        <f>D72*K72</f>
        <v>633.5</v>
      </c>
      <c r="M72" s="20"/>
      <c r="N72" s="11"/>
      <c r="O72" s="11"/>
    </row>
    <row r="73" ht="69" customHeight="1" spans="1:15">
      <c r="A73" s="8">
        <v>72</v>
      </c>
      <c r="B73" s="22">
        <v>45861</v>
      </c>
      <c r="C73" s="23" t="s">
        <v>98</v>
      </c>
      <c r="D73" s="11">
        <v>1</v>
      </c>
      <c r="E73" s="11">
        <v>1</v>
      </c>
      <c r="F73" s="11">
        <f>D73-E73</f>
        <v>0</v>
      </c>
      <c r="G73" s="12">
        <f>H73/1.09</f>
        <v>440.366972477064</v>
      </c>
      <c r="H73" s="12">
        <v>480</v>
      </c>
      <c r="I73" s="17">
        <f>D73*G73</f>
        <v>440.366972477064</v>
      </c>
      <c r="J73" s="17">
        <f>D73*H73</f>
        <v>480</v>
      </c>
      <c r="K73" s="17">
        <v>450</v>
      </c>
      <c r="L73" s="17">
        <f>D73*K73</f>
        <v>450</v>
      </c>
      <c r="M73" s="20"/>
      <c r="N73" s="11"/>
      <c r="O73" s="35" t="s">
        <v>89</v>
      </c>
    </row>
    <row r="74" ht="69" customHeight="1" spans="1:15">
      <c r="A74" s="8">
        <v>73</v>
      </c>
      <c r="B74" s="22"/>
      <c r="C74" s="23" t="s">
        <v>98</v>
      </c>
      <c r="D74" s="11">
        <v>1</v>
      </c>
      <c r="E74" s="11">
        <v>1</v>
      </c>
      <c r="F74" s="11">
        <f>D74-E74</f>
        <v>0</v>
      </c>
      <c r="G74" s="12">
        <f>H74/1.09</f>
        <v>440.366972477064</v>
      </c>
      <c r="H74" s="12">
        <v>480</v>
      </c>
      <c r="I74" s="17">
        <f>D74*G74</f>
        <v>440.366972477064</v>
      </c>
      <c r="J74" s="17">
        <f>D74*H74</f>
        <v>480</v>
      </c>
      <c r="K74" s="17">
        <v>450</v>
      </c>
      <c r="L74" s="17">
        <f>D74*K74</f>
        <v>450</v>
      </c>
      <c r="M74" s="20"/>
      <c r="N74" s="11"/>
      <c r="O74" s="16"/>
    </row>
    <row r="75" ht="42.75" spans="1:15">
      <c r="A75" s="8">
        <v>74</v>
      </c>
      <c r="B75" s="22"/>
      <c r="C75" s="11" t="s">
        <v>99</v>
      </c>
      <c r="D75" s="20" cm="1">
        <f t="array" ref="D75">SUM(VALUE(SUBSTITUTE(_xlfn.TEXTAFTER(_xlfn.TEXTSPLIT(C75,CHAR(10)),"-",-1),"km","")))</f>
        <v>189</v>
      </c>
      <c r="E75" s="11">
        <v>187</v>
      </c>
      <c r="F75" s="11">
        <f>D75-E75</f>
        <v>2</v>
      </c>
      <c r="G75" s="12">
        <f>H75/1.09</f>
        <v>4.12844036697248</v>
      </c>
      <c r="H75" s="12">
        <v>4.5</v>
      </c>
      <c r="I75" s="17">
        <f>D75*G75</f>
        <v>780.275229357798</v>
      </c>
      <c r="J75" s="17">
        <f>D75*H75</f>
        <v>850.5</v>
      </c>
      <c r="K75" s="17">
        <v>3.5</v>
      </c>
      <c r="L75" s="17">
        <f>D75*K75</f>
        <v>661.5</v>
      </c>
      <c r="M75" s="20"/>
      <c r="N75" s="11"/>
      <c r="O75" s="11"/>
    </row>
    <row r="76" ht="98" customHeight="1" spans="1:15">
      <c r="A76" s="8">
        <v>75</v>
      </c>
      <c r="B76" s="22"/>
      <c r="C76" s="11" t="s">
        <v>100</v>
      </c>
      <c r="D76" s="20" cm="1">
        <f t="array" ref="D76">SUM(VALUE(SUBSTITUTE(_xlfn.TEXTAFTER(_xlfn.TEXTSPLIT(C76,CHAR(10)),"-",-1),"km","")))</f>
        <v>200.7</v>
      </c>
      <c r="E76" s="11">
        <v>196.8</v>
      </c>
      <c r="F76" s="11">
        <f>D76-E76</f>
        <v>3.89999999999998</v>
      </c>
      <c r="G76" s="12">
        <f>H76/1.09</f>
        <v>4.12844036697248</v>
      </c>
      <c r="H76" s="12">
        <v>4.5</v>
      </c>
      <c r="I76" s="17">
        <f>D76*G76</f>
        <v>828.577981651376</v>
      </c>
      <c r="J76" s="17">
        <f>D76*H76</f>
        <v>903.15</v>
      </c>
      <c r="K76" s="17">
        <v>3.5</v>
      </c>
      <c r="L76" s="17">
        <f>D76*K76</f>
        <v>702.45</v>
      </c>
      <c r="M76" s="20"/>
      <c r="N76" s="11"/>
      <c r="O76" s="11"/>
    </row>
    <row r="77" ht="68" customHeight="1" spans="1:15">
      <c r="A77" s="8">
        <v>76</v>
      </c>
      <c r="B77" s="22"/>
      <c r="C77" s="11" t="s">
        <v>101</v>
      </c>
      <c r="D77" s="11">
        <v>1</v>
      </c>
      <c r="E77" s="11">
        <v>1</v>
      </c>
      <c r="F77" s="11">
        <f>D77-E77</f>
        <v>0</v>
      </c>
      <c r="G77" s="12">
        <f>H77/1.09</f>
        <v>440.366972477064</v>
      </c>
      <c r="H77" s="12">
        <v>480</v>
      </c>
      <c r="I77" s="17">
        <f>D77*G77</f>
        <v>440.366972477064</v>
      </c>
      <c r="J77" s="17">
        <f>D77*H77</f>
        <v>480</v>
      </c>
      <c r="K77" s="17">
        <v>450</v>
      </c>
      <c r="L77" s="17">
        <f>D77*K77</f>
        <v>450</v>
      </c>
      <c r="M77" s="20"/>
      <c r="N77" s="11"/>
      <c r="O77" s="11"/>
    </row>
    <row r="78" ht="99.75" spans="1:15">
      <c r="A78" s="8">
        <v>77</v>
      </c>
      <c r="B78" s="31">
        <v>45862</v>
      </c>
      <c r="C78" s="11" t="s">
        <v>102</v>
      </c>
      <c r="D78" s="21" cm="1">
        <f t="array" ref="D78">SUM(VALUE(SUBSTITUTE(_xlfn.TEXTAFTER(_xlfn.TEXTSPLIT(C78,CHAR(10)),"-",-1),"km","")))</f>
        <v>455</v>
      </c>
      <c r="E78" s="11">
        <v>440</v>
      </c>
      <c r="F78" s="11">
        <f>D78-E78</f>
        <v>15</v>
      </c>
      <c r="G78" s="12">
        <f>H78/1.09</f>
        <v>3.76146788990826</v>
      </c>
      <c r="H78" s="18">
        <v>4.1</v>
      </c>
      <c r="I78" s="17">
        <f>D78*G78</f>
        <v>1711.46788990826</v>
      </c>
      <c r="J78" s="17">
        <f>D78*H78</f>
        <v>1865.5</v>
      </c>
      <c r="K78" s="17">
        <v>3.2</v>
      </c>
      <c r="L78" s="17">
        <f>D78*K78</f>
        <v>1456</v>
      </c>
      <c r="M78" s="20"/>
      <c r="N78" s="11"/>
      <c r="O78" s="11" t="s">
        <v>103</v>
      </c>
    </row>
    <row r="79" ht="71.25" spans="1:15">
      <c r="A79" s="8">
        <v>78</v>
      </c>
      <c r="B79" s="15"/>
      <c r="C79" s="11" t="s">
        <v>104</v>
      </c>
      <c r="D79" s="21" cm="1">
        <f t="array" ref="D79">SUM(VALUE(SUBSTITUTE(_xlfn.TEXTAFTER(_xlfn.TEXTSPLIT(C79,CHAR(10)),"-",-1),"km","")))</f>
        <v>333.1</v>
      </c>
      <c r="E79" s="11">
        <v>325</v>
      </c>
      <c r="F79" s="11">
        <f>D79-E79</f>
        <v>8.10000000000002</v>
      </c>
      <c r="G79" s="12">
        <f>H79/1.09</f>
        <v>3.76146788990826</v>
      </c>
      <c r="H79" s="18">
        <v>4.1</v>
      </c>
      <c r="I79" s="17">
        <f>D79*G79</f>
        <v>1252.94495412844</v>
      </c>
      <c r="J79" s="17">
        <f>D79*H79</f>
        <v>1365.71</v>
      </c>
      <c r="K79" s="17">
        <v>3.2</v>
      </c>
      <c r="L79" s="17">
        <f>D79*K79</f>
        <v>1065.92</v>
      </c>
      <c r="M79" s="20"/>
      <c r="N79" s="11"/>
      <c r="O79" s="11"/>
    </row>
    <row r="80" ht="85.5" spans="1:15">
      <c r="A80" s="8">
        <v>79</v>
      </c>
      <c r="B80" s="15"/>
      <c r="C80" s="11" t="s">
        <v>105</v>
      </c>
      <c r="D80" s="21" cm="1">
        <f t="array" ref="D80">SUM(VALUE(SUBSTITUTE(_xlfn.TEXTAFTER(_xlfn.TEXTSPLIT(C80,CHAR(10)),"-",-1),"km","")))</f>
        <v>302</v>
      </c>
      <c r="E80" s="11">
        <v>288.4</v>
      </c>
      <c r="F80" s="11">
        <f>D80-E80</f>
        <v>13.6</v>
      </c>
      <c r="G80" s="12">
        <f>H80/1.09</f>
        <v>3.76146788990826</v>
      </c>
      <c r="H80" s="18">
        <v>4.1</v>
      </c>
      <c r="I80" s="17">
        <f>D80*G80</f>
        <v>1135.96330275229</v>
      </c>
      <c r="J80" s="17">
        <f>D80*H80</f>
        <v>1238.2</v>
      </c>
      <c r="K80" s="17">
        <v>3.2</v>
      </c>
      <c r="L80" s="17">
        <f>D80*K80</f>
        <v>966.4</v>
      </c>
      <c r="M80" s="20"/>
      <c r="N80" s="11"/>
      <c r="O80" s="11"/>
    </row>
    <row r="81" ht="51" customHeight="1" spans="1:15">
      <c r="A81" s="8">
        <v>80</v>
      </c>
      <c r="B81" s="15"/>
      <c r="C81" s="23" t="s">
        <v>106</v>
      </c>
      <c r="D81" s="21" cm="1">
        <f t="array" ref="D81">SUM(VALUE(SUBSTITUTE(_xlfn.TEXTAFTER(_xlfn.TEXTSPLIT(C81,CHAR(10)),"-",-1),"km","")))</f>
        <v>456</v>
      </c>
      <c r="E81" s="11">
        <v>457</v>
      </c>
      <c r="F81" s="11">
        <f>D81-E81</f>
        <v>-1</v>
      </c>
      <c r="G81" s="12">
        <f>H81/1.09</f>
        <v>3.76146788990826</v>
      </c>
      <c r="H81" s="18">
        <v>4.1</v>
      </c>
      <c r="I81" s="17">
        <f>D81*G81</f>
        <v>1715.22935779816</v>
      </c>
      <c r="J81" s="17">
        <f>D81*H81</f>
        <v>1869.6</v>
      </c>
      <c r="K81" s="17">
        <v>3.2</v>
      </c>
      <c r="L81" s="17">
        <f>D81*K81</f>
        <v>1459.2</v>
      </c>
      <c r="M81" s="20"/>
      <c r="N81" s="11"/>
      <c r="O81" s="11" t="s">
        <v>89</v>
      </c>
    </row>
    <row r="82" ht="71.25" spans="1:15">
      <c r="A82" s="8">
        <v>81</v>
      </c>
      <c r="B82" s="31">
        <v>45863</v>
      </c>
      <c r="C82" s="11" t="s">
        <v>107</v>
      </c>
      <c r="D82" s="21" cm="1">
        <f t="array" ref="D82">SUM(VALUE(SUBSTITUTE(_xlfn.TEXTAFTER(_xlfn.TEXTSPLIT(C82,CHAR(10)),"-",-1),"km","")))</f>
        <v>201.4</v>
      </c>
      <c r="E82" s="11">
        <v>187.2</v>
      </c>
      <c r="F82" s="11">
        <f>D82-E82</f>
        <v>14.2</v>
      </c>
      <c r="G82" s="12">
        <f t="shared" ref="G82:G91" si="6">H82/1.09</f>
        <v>3.94495412844037</v>
      </c>
      <c r="H82" s="12">
        <v>4.3</v>
      </c>
      <c r="I82" s="17">
        <f t="shared" ref="I82:I91" si="7">D82*G82</f>
        <v>794.51376146789</v>
      </c>
      <c r="J82" s="17">
        <f t="shared" ref="J82:J91" si="8">D82*H82</f>
        <v>866.02</v>
      </c>
      <c r="K82" s="17">
        <v>3.5</v>
      </c>
      <c r="L82" s="17">
        <f t="shared" ref="L82:L91" si="9">D82*K82</f>
        <v>704.9</v>
      </c>
      <c r="M82" s="20"/>
      <c r="N82" s="11"/>
      <c r="O82" s="11"/>
    </row>
    <row r="83" ht="99.75" spans="1:15">
      <c r="A83" s="8">
        <v>82</v>
      </c>
      <c r="B83" s="15"/>
      <c r="C83" s="11" t="s">
        <v>108</v>
      </c>
      <c r="D83" s="21" cm="1">
        <f t="array" ref="D83">SUM(VALUE(SUBSTITUTE(_xlfn.TEXTAFTER(_xlfn.TEXTSPLIT(C83,CHAR(10)),"-",-1),"km","")))</f>
        <v>301</v>
      </c>
      <c r="E83" s="11">
        <v>289</v>
      </c>
      <c r="F83" s="11">
        <f>D83-E83</f>
        <v>12</v>
      </c>
      <c r="G83" s="12">
        <f t="shared" si="6"/>
        <v>3.76146788990826</v>
      </c>
      <c r="H83" s="18">
        <v>4.1</v>
      </c>
      <c r="I83" s="17">
        <f t="shared" si="7"/>
        <v>1132.20183486239</v>
      </c>
      <c r="J83" s="17">
        <f t="shared" si="8"/>
        <v>1234.1</v>
      </c>
      <c r="K83" s="17">
        <v>3.2</v>
      </c>
      <c r="L83" s="17">
        <f t="shared" si="9"/>
        <v>963.2</v>
      </c>
      <c r="M83" s="20"/>
      <c r="N83" s="11"/>
      <c r="O83" s="11"/>
    </row>
    <row r="84" ht="42.75" spans="1:15">
      <c r="A84" s="8">
        <v>83</v>
      </c>
      <c r="B84" s="15"/>
      <c r="C84" s="11" t="s">
        <v>109</v>
      </c>
      <c r="D84" s="11" cm="1">
        <f t="array" ref="D84">SUM(VALUE(SUBSTITUTE(_xlfn.TEXTAFTER(_xlfn.TEXTSPLIT(C84,CHAR(10)),"-",-1),"km","")))</f>
        <v>208</v>
      </c>
      <c r="E84" s="11">
        <v>208</v>
      </c>
      <c r="F84" s="11">
        <f>D84-E84</f>
        <v>0</v>
      </c>
      <c r="G84" s="12">
        <f t="shared" si="6"/>
        <v>3.94495412844037</v>
      </c>
      <c r="H84" s="12">
        <v>4.3</v>
      </c>
      <c r="I84" s="17">
        <f t="shared" si="7"/>
        <v>820.550458715596</v>
      </c>
      <c r="J84" s="17">
        <f t="shared" si="8"/>
        <v>894.4</v>
      </c>
      <c r="K84" s="17">
        <v>3.5</v>
      </c>
      <c r="L84" s="17">
        <f t="shared" si="9"/>
        <v>728</v>
      </c>
      <c r="M84" s="20"/>
      <c r="N84" s="11"/>
      <c r="O84" s="11"/>
    </row>
    <row r="85" ht="114" spans="1:15">
      <c r="A85" s="8">
        <v>84</v>
      </c>
      <c r="B85" s="31">
        <v>45864</v>
      </c>
      <c r="C85" s="11" t="s">
        <v>110</v>
      </c>
      <c r="D85" s="21" cm="1">
        <f t="array" ref="D85">SUM(VALUE(SUBSTITUTE(_xlfn.TEXTAFTER(_xlfn.TEXTSPLIT(C85,CHAR(10)),"-",-1),"km","")))</f>
        <v>482.9</v>
      </c>
      <c r="E85" s="11">
        <v>466.3</v>
      </c>
      <c r="F85" s="11">
        <f>D85-E85</f>
        <v>16.6</v>
      </c>
      <c r="G85" s="12">
        <f t="shared" si="6"/>
        <v>3.76146788990826</v>
      </c>
      <c r="H85" s="18">
        <v>4.1</v>
      </c>
      <c r="I85" s="17">
        <f t="shared" si="7"/>
        <v>1816.4128440367</v>
      </c>
      <c r="J85" s="17">
        <f t="shared" si="8"/>
        <v>1979.89</v>
      </c>
      <c r="K85" s="17">
        <v>3.2</v>
      </c>
      <c r="L85" s="17">
        <f t="shared" si="9"/>
        <v>1545.28</v>
      </c>
      <c r="M85" s="20"/>
      <c r="N85" s="11"/>
      <c r="O85" s="11"/>
    </row>
    <row r="86" ht="120" customHeight="1" spans="1:15">
      <c r="A86" s="8">
        <v>85</v>
      </c>
      <c r="B86" s="15"/>
      <c r="C86" s="11" t="s">
        <v>111</v>
      </c>
      <c r="D86" s="21" cm="1">
        <f t="array" ref="D86">SUM(VALUE(SUBSTITUTE(_xlfn.TEXTAFTER(_xlfn.TEXTSPLIT(C86,CHAR(10)),"-",-1),"km","")))</f>
        <v>289.5</v>
      </c>
      <c r="E86" s="11">
        <v>283.2</v>
      </c>
      <c r="F86" s="11">
        <f>D86-E86</f>
        <v>6.30000000000001</v>
      </c>
      <c r="G86" s="12">
        <f t="shared" si="6"/>
        <v>3.94495412844037</v>
      </c>
      <c r="H86" s="12">
        <v>4.3</v>
      </c>
      <c r="I86" s="17">
        <f t="shared" si="7"/>
        <v>1142.06422018349</v>
      </c>
      <c r="J86" s="17">
        <f t="shared" si="8"/>
        <v>1244.85</v>
      </c>
      <c r="K86" s="17">
        <v>3.5</v>
      </c>
      <c r="L86" s="17">
        <f t="shared" si="9"/>
        <v>1013.25</v>
      </c>
      <c r="M86" s="20"/>
      <c r="N86" s="11"/>
      <c r="O86" s="11"/>
    </row>
    <row r="87" ht="99.75" spans="1:15">
      <c r="A87" s="8">
        <v>86</v>
      </c>
      <c r="B87" s="15"/>
      <c r="C87" s="11" t="s">
        <v>112</v>
      </c>
      <c r="D87" s="21" cm="1">
        <f t="array" ref="D87">SUM(VALUE(SUBSTITUTE(_xlfn.TEXTAFTER(_xlfn.TEXTSPLIT(C87,CHAR(10)),"-",-1),"km","")))</f>
        <v>368.1</v>
      </c>
      <c r="E87" s="11">
        <v>332.1</v>
      </c>
      <c r="F87" s="11">
        <f>D87-E87</f>
        <v>36</v>
      </c>
      <c r="G87" s="12">
        <f t="shared" si="6"/>
        <v>3.76146788990826</v>
      </c>
      <c r="H87" s="18">
        <v>4.1</v>
      </c>
      <c r="I87" s="17">
        <f t="shared" si="7"/>
        <v>1384.59633027523</v>
      </c>
      <c r="J87" s="17">
        <f t="shared" si="8"/>
        <v>1509.21</v>
      </c>
      <c r="K87" s="17">
        <v>3.2</v>
      </c>
      <c r="L87" s="17">
        <f t="shared" si="9"/>
        <v>1177.92</v>
      </c>
      <c r="M87" s="20"/>
      <c r="N87" s="11"/>
      <c r="O87" s="11" t="s">
        <v>113</v>
      </c>
    </row>
    <row r="88" ht="99.75" spans="1:15">
      <c r="A88" s="8">
        <v>87</v>
      </c>
      <c r="B88" s="31">
        <v>45865</v>
      </c>
      <c r="C88" s="11" t="s">
        <v>114</v>
      </c>
      <c r="D88" s="21" cm="1">
        <f t="array" ref="D88">SUM(VALUE(SUBSTITUTE(_xlfn.TEXTAFTER(_xlfn.TEXTSPLIT(C88,CHAR(10)),"-",-1),"km","")))</f>
        <v>262.1</v>
      </c>
      <c r="E88" s="11">
        <v>252</v>
      </c>
      <c r="F88" s="11">
        <f>D88-E88</f>
        <v>10.1</v>
      </c>
      <c r="G88" s="12">
        <f t="shared" si="6"/>
        <v>3.94495412844037</v>
      </c>
      <c r="H88" s="12">
        <v>4.3</v>
      </c>
      <c r="I88" s="17">
        <f t="shared" si="7"/>
        <v>1033.97247706422</v>
      </c>
      <c r="J88" s="17">
        <f t="shared" si="8"/>
        <v>1127.03</v>
      </c>
      <c r="K88" s="17">
        <v>3.5</v>
      </c>
      <c r="L88" s="17">
        <f t="shared" si="9"/>
        <v>917.35</v>
      </c>
      <c r="M88" s="20"/>
      <c r="N88" s="11"/>
      <c r="O88" s="11"/>
    </row>
    <row r="89" ht="128.25" spans="1:15">
      <c r="A89" s="8">
        <v>88</v>
      </c>
      <c r="B89" s="31">
        <v>45866</v>
      </c>
      <c r="C89" s="11" t="s">
        <v>115</v>
      </c>
      <c r="D89" s="20" cm="1">
        <f t="array" ref="D89">SUM(VALUE(SUBSTITUTE(_xlfn.TEXTAFTER(_xlfn.TEXTSPLIT(C89,CHAR(10)),"-",-1),"km","")))</f>
        <v>335.8</v>
      </c>
      <c r="E89" s="11">
        <v>334</v>
      </c>
      <c r="F89" s="11">
        <f>D89-E89</f>
        <v>1.80000000000001</v>
      </c>
      <c r="G89" s="12">
        <f t="shared" si="6"/>
        <v>3.76146788990826</v>
      </c>
      <c r="H89" s="18">
        <v>4.1</v>
      </c>
      <c r="I89" s="17">
        <f t="shared" si="7"/>
        <v>1263.10091743119</v>
      </c>
      <c r="J89" s="17">
        <f t="shared" si="8"/>
        <v>1376.78</v>
      </c>
      <c r="K89" s="17">
        <v>3.2</v>
      </c>
      <c r="L89" s="17">
        <f t="shared" si="9"/>
        <v>1074.56</v>
      </c>
      <c r="M89" s="20"/>
      <c r="N89" s="11"/>
      <c r="O89" s="11"/>
    </row>
    <row r="90" ht="57" spans="1:15">
      <c r="A90" s="8">
        <v>89</v>
      </c>
      <c r="B90" s="15"/>
      <c r="C90" s="11" t="s">
        <v>116</v>
      </c>
      <c r="D90" s="21" cm="1">
        <f t="array" ref="D90">SUM(VALUE(SUBSTITUTE(_xlfn.TEXTAFTER(_xlfn.TEXTSPLIT(C90,CHAR(10)),"-",-1),"km","")))</f>
        <v>196</v>
      </c>
      <c r="E90" s="11">
        <v>197</v>
      </c>
      <c r="F90" s="11">
        <f>D90-E90</f>
        <v>-1</v>
      </c>
      <c r="G90" s="12">
        <f t="shared" si="6"/>
        <v>4.12844036697248</v>
      </c>
      <c r="H90" s="12">
        <v>4.5</v>
      </c>
      <c r="I90" s="17">
        <f t="shared" si="7"/>
        <v>809.174311926605</v>
      </c>
      <c r="J90" s="17">
        <f t="shared" si="8"/>
        <v>882</v>
      </c>
      <c r="K90" s="17">
        <v>3.5</v>
      </c>
      <c r="L90" s="17">
        <f t="shared" si="9"/>
        <v>686</v>
      </c>
      <c r="M90" s="20"/>
      <c r="N90" s="11"/>
      <c r="O90" s="11"/>
    </row>
    <row r="91" ht="85.5" spans="1:15">
      <c r="A91" s="8">
        <v>90</v>
      </c>
      <c r="B91" s="15"/>
      <c r="C91" s="11" t="s">
        <v>117</v>
      </c>
      <c r="D91" s="21" cm="1">
        <f t="array" ref="D91">SUM(VALUE(SUBSTITUTE(_xlfn.TEXTAFTER(_xlfn.TEXTSPLIT(C91,CHAR(10)),"-",-1),"km","")))</f>
        <v>237.4</v>
      </c>
      <c r="E91" s="11">
        <v>232.2</v>
      </c>
      <c r="F91" s="11">
        <f>D91-E91</f>
        <v>5.20000000000002</v>
      </c>
      <c r="G91" s="12">
        <f t="shared" si="6"/>
        <v>3.94495412844037</v>
      </c>
      <c r="H91" s="12">
        <v>4.3</v>
      </c>
      <c r="I91" s="17">
        <f t="shared" si="7"/>
        <v>936.532110091743</v>
      </c>
      <c r="J91" s="17">
        <f t="shared" si="8"/>
        <v>1020.82</v>
      </c>
      <c r="K91" s="17">
        <v>3.5</v>
      </c>
      <c r="L91" s="17">
        <f t="shared" si="9"/>
        <v>830.9</v>
      </c>
      <c r="M91" s="20"/>
      <c r="N91" s="11"/>
      <c r="O91" s="11"/>
    </row>
    <row r="92" ht="71.25" spans="1:15">
      <c r="A92" s="8">
        <v>91</v>
      </c>
      <c r="B92" s="31">
        <v>45867</v>
      </c>
      <c r="C92" s="11" t="s">
        <v>118</v>
      </c>
      <c r="D92" s="21" cm="1">
        <f t="array" ref="D92">SUM(VALUE(SUBSTITUTE(_xlfn.TEXTAFTER(_xlfn.TEXTSPLIT(C92,CHAR(10)),"-",-1),"km","")))</f>
        <v>333.1</v>
      </c>
      <c r="E92" s="11">
        <v>325</v>
      </c>
      <c r="F92" s="11">
        <f t="shared" ref="F92:F101" si="10">D92-E92</f>
        <v>8.10000000000002</v>
      </c>
      <c r="G92" s="12">
        <f t="shared" ref="G92:G134" si="11">H92/1.09</f>
        <v>3.76146788990826</v>
      </c>
      <c r="H92" s="18">
        <v>4.1</v>
      </c>
      <c r="I92" s="17">
        <f t="shared" ref="I92:I134" si="12">D92*G92</f>
        <v>1252.94495412844</v>
      </c>
      <c r="J92" s="17">
        <f t="shared" ref="J92:J134" si="13">D92*H92</f>
        <v>1365.71</v>
      </c>
      <c r="K92" s="17">
        <v>3.2</v>
      </c>
      <c r="L92" s="17">
        <f t="shared" ref="L92:L134" si="14">D92*K92</f>
        <v>1065.92</v>
      </c>
      <c r="M92" s="20"/>
      <c r="N92" s="11"/>
      <c r="O92" s="11"/>
    </row>
    <row r="93" ht="57" spans="1:15">
      <c r="A93" s="8">
        <v>92</v>
      </c>
      <c r="B93" s="15"/>
      <c r="C93" s="11" t="s">
        <v>119</v>
      </c>
      <c r="D93" s="21" cm="1">
        <f t="array" ref="D93">SUM(VALUE(SUBSTITUTE(_xlfn.TEXTAFTER(_xlfn.TEXTSPLIT(C93,CHAR(10)),"-",-1),"km","")))</f>
        <v>261</v>
      </c>
      <c r="E93" s="11">
        <v>247.4</v>
      </c>
      <c r="F93" s="11">
        <f t="shared" si="10"/>
        <v>13.6</v>
      </c>
      <c r="G93" s="12">
        <f t="shared" si="11"/>
        <v>3.94495412844037</v>
      </c>
      <c r="H93" s="12">
        <v>4.3</v>
      </c>
      <c r="I93" s="17">
        <f t="shared" si="12"/>
        <v>1029.63302752294</v>
      </c>
      <c r="J93" s="17">
        <f t="shared" si="13"/>
        <v>1122.3</v>
      </c>
      <c r="K93" s="17">
        <v>3.5</v>
      </c>
      <c r="L93" s="17">
        <f t="shared" si="14"/>
        <v>913.5</v>
      </c>
      <c r="M93" s="20"/>
      <c r="N93" s="11"/>
      <c r="O93" s="11"/>
    </row>
    <row r="94" ht="57" spans="1:15">
      <c r="A94" s="8">
        <v>93</v>
      </c>
      <c r="B94" s="15"/>
      <c r="C94" s="11" t="s">
        <v>120</v>
      </c>
      <c r="D94" s="21" cm="1">
        <f t="array" ref="D94">SUM(VALUE(SUBSTITUTE(_xlfn.TEXTAFTER(_xlfn.TEXTSPLIT(C94,CHAR(10)),"-",-1),"km","")))</f>
        <v>342</v>
      </c>
      <c r="E94" s="11">
        <v>331</v>
      </c>
      <c r="F94" s="11">
        <f t="shared" si="10"/>
        <v>11</v>
      </c>
      <c r="G94" s="12">
        <f t="shared" si="11"/>
        <v>3.76146788990826</v>
      </c>
      <c r="H94" s="18">
        <v>4.1</v>
      </c>
      <c r="I94" s="17">
        <f t="shared" si="12"/>
        <v>1286.42201834862</v>
      </c>
      <c r="J94" s="17">
        <f t="shared" si="13"/>
        <v>1402.2</v>
      </c>
      <c r="K94" s="17">
        <v>3.2</v>
      </c>
      <c r="L94" s="17">
        <f t="shared" si="14"/>
        <v>1094.4</v>
      </c>
      <c r="M94" s="20"/>
      <c r="N94" s="11"/>
      <c r="O94" s="11"/>
    </row>
    <row r="95" ht="57" spans="1:15">
      <c r="A95" s="8">
        <v>94</v>
      </c>
      <c r="B95" s="37"/>
      <c r="C95" s="11" t="s">
        <v>121</v>
      </c>
      <c r="D95" s="21" cm="1">
        <f t="array" ref="D95">SUM(VALUE(SUBSTITUTE(_xlfn.TEXTAFTER(_xlfn.TEXTSPLIT(C95,CHAR(10)),"-",-1),"km","")))</f>
        <v>313</v>
      </c>
      <c r="E95" s="11">
        <v>306</v>
      </c>
      <c r="F95" s="11">
        <f t="shared" si="10"/>
        <v>7</v>
      </c>
      <c r="G95" s="12">
        <f t="shared" si="11"/>
        <v>3.76146788990826</v>
      </c>
      <c r="H95" s="18">
        <v>4.1</v>
      </c>
      <c r="I95" s="17">
        <f t="shared" si="12"/>
        <v>1177.33944954128</v>
      </c>
      <c r="J95" s="17">
        <f t="shared" si="13"/>
        <v>1283.3</v>
      </c>
      <c r="K95" s="17">
        <v>3.2</v>
      </c>
      <c r="L95" s="17">
        <f t="shared" si="14"/>
        <v>1001.6</v>
      </c>
      <c r="M95" s="20"/>
      <c r="N95" s="11"/>
      <c r="O95" s="11"/>
    </row>
    <row r="96" ht="79" customHeight="1" spans="1:15">
      <c r="A96" s="8">
        <v>95</v>
      </c>
      <c r="B96" s="31">
        <v>45868</v>
      </c>
      <c r="C96" s="11" t="s">
        <v>122</v>
      </c>
      <c r="D96" s="11" cm="1">
        <f t="array" ref="D96">SUM(VALUE(SUBSTITUTE(_xlfn.TEXTAFTER(_xlfn.TEXTSPLIT(C96,CHAR(10)),"-",-1),"km","")))</f>
        <v>205.4</v>
      </c>
      <c r="E96" s="11">
        <v>206.5</v>
      </c>
      <c r="F96" s="11">
        <f t="shared" si="10"/>
        <v>-1.09999999999999</v>
      </c>
      <c r="G96" s="12">
        <f t="shared" si="11"/>
        <v>3.94495412844037</v>
      </c>
      <c r="H96" s="12">
        <v>4.3</v>
      </c>
      <c r="I96" s="17">
        <f t="shared" si="12"/>
        <v>810.293577981651</v>
      </c>
      <c r="J96" s="17">
        <f t="shared" si="13"/>
        <v>883.22</v>
      </c>
      <c r="K96" s="17">
        <v>3.5</v>
      </c>
      <c r="L96" s="17">
        <f t="shared" si="14"/>
        <v>718.9</v>
      </c>
      <c r="M96" s="20"/>
      <c r="N96" s="11"/>
      <c r="O96" s="11"/>
    </row>
    <row r="97" ht="91" customHeight="1" spans="1:15">
      <c r="A97" s="8">
        <v>96</v>
      </c>
      <c r="B97" s="15"/>
      <c r="C97" s="11" t="s">
        <v>123</v>
      </c>
      <c r="D97" s="21" cm="1">
        <f t="array" ref="D97">SUM(VALUE(SUBSTITUTE(_xlfn.TEXTAFTER(_xlfn.TEXTSPLIT(C97,CHAR(10)),"-",-1),"km","")))</f>
        <v>214</v>
      </c>
      <c r="E97" s="11">
        <v>197</v>
      </c>
      <c r="F97" s="11">
        <f t="shared" si="10"/>
        <v>17</v>
      </c>
      <c r="G97" s="12">
        <f t="shared" si="11"/>
        <v>3.94495412844037</v>
      </c>
      <c r="H97" s="12">
        <v>4.3</v>
      </c>
      <c r="I97" s="17">
        <f t="shared" si="12"/>
        <v>844.220183486238</v>
      </c>
      <c r="J97" s="17">
        <f t="shared" si="13"/>
        <v>920.2</v>
      </c>
      <c r="K97" s="17">
        <v>3.5</v>
      </c>
      <c r="L97" s="17">
        <f t="shared" si="14"/>
        <v>749</v>
      </c>
      <c r="M97" s="20"/>
      <c r="N97" s="11"/>
      <c r="O97" s="11"/>
    </row>
    <row r="98" ht="71.25" spans="1:15">
      <c r="A98" s="8">
        <v>97</v>
      </c>
      <c r="B98" s="37"/>
      <c r="C98" s="11" t="s">
        <v>124</v>
      </c>
      <c r="D98" s="11" cm="1">
        <f t="array" ref="D98">SUM(VALUE(SUBSTITUTE(_xlfn.TEXTAFTER(_xlfn.TEXTSPLIT(C98,CHAR(10)),"-",-1),"km","")))</f>
        <v>222</v>
      </c>
      <c r="E98" s="11">
        <v>217</v>
      </c>
      <c r="F98" s="11">
        <f t="shared" si="10"/>
        <v>5</v>
      </c>
      <c r="G98" s="12">
        <f t="shared" si="11"/>
        <v>3.94495412844037</v>
      </c>
      <c r="H98" s="12">
        <v>4.3</v>
      </c>
      <c r="I98" s="17">
        <f t="shared" si="12"/>
        <v>875.779816513761</v>
      </c>
      <c r="J98" s="17">
        <f t="shared" si="13"/>
        <v>954.6</v>
      </c>
      <c r="K98" s="17">
        <v>3.5</v>
      </c>
      <c r="L98" s="17">
        <f t="shared" si="14"/>
        <v>777</v>
      </c>
      <c r="M98" s="20"/>
      <c r="N98" s="11"/>
      <c r="O98" s="11"/>
    </row>
    <row r="99" ht="57" spans="1:15">
      <c r="A99" s="8">
        <v>98</v>
      </c>
      <c r="B99" s="31">
        <v>45869</v>
      </c>
      <c r="C99" s="11" t="s">
        <v>125</v>
      </c>
      <c r="D99" s="11" cm="1">
        <f t="array" ref="D99">SUM(VALUE(SUBSTITUTE(_xlfn.TEXTAFTER(_xlfn.TEXTSPLIT(C99,CHAR(10)),"-",-1),"km","")))</f>
        <v>324</v>
      </c>
      <c r="E99" s="11">
        <v>322.4</v>
      </c>
      <c r="F99" s="11">
        <f t="shared" si="10"/>
        <v>1.60000000000002</v>
      </c>
      <c r="G99" s="12">
        <f t="shared" si="11"/>
        <v>3.76146788990826</v>
      </c>
      <c r="H99" s="18">
        <v>4.1</v>
      </c>
      <c r="I99" s="17">
        <f t="shared" si="12"/>
        <v>1218.71559633028</v>
      </c>
      <c r="J99" s="17">
        <f t="shared" si="13"/>
        <v>1328.4</v>
      </c>
      <c r="K99" s="17">
        <v>3.2</v>
      </c>
      <c r="L99" s="17">
        <f t="shared" si="14"/>
        <v>1036.8</v>
      </c>
      <c r="M99" s="20"/>
      <c r="N99" s="11"/>
      <c r="O99" s="11"/>
    </row>
    <row r="100" ht="85.5" spans="1:15">
      <c r="A100" s="8">
        <v>99</v>
      </c>
      <c r="B100" s="15"/>
      <c r="C100" s="11" t="s">
        <v>126</v>
      </c>
      <c r="D100" s="21" cm="1">
        <f t="array" ref="D100">SUM(VALUE(SUBSTITUTE(_xlfn.TEXTAFTER(_xlfn.TEXTSPLIT(C100,CHAR(10)),"-",-1),"km","")))</f>
        <v>345.7</v>
      </c>
      <c r="E100" s="11">
        <v>334.6</v>
      </c>
      <c r="F100" s="11">
        <f t="shared" si="10"/>
        <v>11.1</v>
      </c>
      <c r="G100" s="12">
        <f t="shared" si="11"/>
        <v>3.76146788990826</v>
      </c>
      <c r="H100" s="18">
        <v>4.1</v>
      </c>
      <c r="I100" s="17">
        <f t="shared" si="12"/>
        <v>1300.33944954128</v>
      </c>
      <c r="J100" s="17">
        <f t="shared" si="13"/>
        <v>1417.37</v>
      </c>
      <c r="K100" s="17">
        <v>3.2</v>
      </c>
      <c r="L100" s="17">
        <f t="shared" si="14"/>
        <v>1106.24</v>
      </c>
      <c r="M100" s="20"/>
      <c r="N100" s="11"/>
      <c r="O100" s="11"/>
    </row>
    <row r="101" ht="99.75" spans="1:15">
      <c r="A101" s="8">
        <v>100</v>
      </c>
      <c r="B101" s="37"/>
      <c r="C101" s="11" t="s">
        <v>127</v>
      </c>
      <c r="D101" s="11" cm="1">
        <f t="array" ref="D101">SUM(VALUE(SUBSTITUTE(_xlfn.TEXTAFTER(_xlfn.TEXTSPLIT(C101,CHAR(10)),"-",-1),"km","")))</f>
        <v>216</v>
      </c>
      <c r="E101" s="11">
        <v>213.1</v>
      </c>
      <c r="F101" s="11">
        <f t="shared" si="10"/>
        <v>2.90000000000001</v>
      </c>
      <c r="G101" s="12">
        <f t="shared" si="11"/>
        <v>3.94495412844037</v>
      </c>
      <c r="H101" s="12">
        <v>4.3</v>
      </c>
      <c r="I101" s="17">
        <f t="shared" si="12"/>
        <v>852.110091743119</v>
      </c>
      <c r="J101" s="17">
        <f t="shared" si="13"/>
        <v>928.8</v>
      </c>
      <c r="K101" s="17">
        <v>3.5</v>
      </c>
      <c r="L101" s="17">
        <f t="shared" si="14"/>
        <v>756</v>
      </c>
      <c r="M101" s="20"/>
      <c r="N101" s="11"/>
      <c r="O101" s="11"/>
    </row>
  </sheetData>
  <autoFilter xmlns:etc="http://www.wps.cn/officeDocument/2017/etCustomData" ref="A1:S101" etc:filterBottomFollowUsedRange="0">
    <extLst/>
  </autoFilter>
  <mergeCells count="31">
    <mergeCell ref="B2:B4"/>
    <mergeCell ref="B6:B10"/>
    <mergeCell ref="B11:B15"/>
    <mergeCell ref="B16:B18"/>
    <mergeCell ref="B19:B22"/>
    <mergeCell ref="B23:B25"/>
    <mergeCell ref="B26:B30"/>
    <mergeCell ref="B31:B33"/>
    <mergeCell ref="B34:B36"/>
    <mergeCell ref="B37:B38"/>
    <mergeCell ref="B39:B41"/>
    <mergeCell ref="B42:B44"/>
    <mergeCell ref="B45:B46"/>
    <mergeCell ref="B47:B49"/>
    <mergeCell ref="B50:B52"/>
    <mergeCell ref="B54:B57"/>
    <mergeCell ref="B58:B60"/>
    <mergeCell ref="B61:B64"/>
    <mergeCell ref="B65:B68"/>
    <mergeCell ref="B69:B72"/>
    <mergeCell ref="B73:B77"/>
    <mergeCell ref="B78:B81"/>
    <mergeCell ref="B82:B84"/>
    <mergeCell ref="B85:B87"/>
    <mergeCell ref="B89:B91"/>
    <mergeCell ref="B92:B95"/>
    <mergeCell ref="B96:B98"/>
    <mergeCell ref="B99:B101"/>
    <mergeCell ref="O43:O44"/>
    <mergeCell ref="O65:O68"/>
    <mergeCell ref="O73:O7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果色心情°</cp:lastModifiedBy>
  <dcterms:created xsi:type="dcterms:W3CDTF">2025-07-01T12:54:00Z</dcterms:created>
  <dcterms:modified xsi:type="dcterms:W3CDTF">2025-08-09T07:34:06Z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88E4FEF4909848E4B5A8A027C409C29A_11</vt:lpwstr>
  </property>
  <property fmtid="{D5CDD505-2E9C-101B-9397-08002B2CF9AE}" pid="3" name="KSOProductBuildVer">
    <vt:lpwstr>2052-12.1.0.21915</vt:lpwstr>
  </property>
</Properties>
</file>