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5080"/>
  </bookViews>
  <sheets>
    <sheet name="Sheet1 (3)" sheetId="1" r:id="rId1"/>
  </sheets>
  <definedNames>
    <definedName name="_xlnm._FilterDatabase" localSheetId="0" hidden="1">'Sheet1 (3)'!$A$1:$R$112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<sst xmlns="http://schemas.openxmlformats.org/spreadsheetml/2006/main" count="35" uniqueCount="32">
  <si>
    <t>序号</t>
  </si>
  <si>
    <t>日期</t>
  </si>
  <si>
    <t>店名</t>
  </si>
  <si>
    <t>公里数</t>
  </si>
  <si>
    <t>不含税单价</t>
  </si>
  <si>
    <t>含税单价</t>
  </si>
  <si>
    <t>不含税合价（运费）</t>
  </si>
  <si>
    <t>含税合价（运费）</t>
  </si>
  <si>
    <t>司机价格</t>
  </si>
  <si>
    <t>司机姓名</t>
  </si>
  <si>
    <t>照片</t>
  </si>
  <si>
    <t>备注</t>
  </si>
  <si>
    <t>厉臣便利（蚌埠山香路店）-152km
厉臣-蚌埠市蚌山区二中店-6km
厉臣便利（蚌埠朝阳路店）-3km
厉臣便利（蚌埠奋进路店）-5km
惠宜选-蚌埠龙子湖店-5km
厉臣便利（蚌埠淮上大道店）-6km
厉臣-蚌埠淮上风情街店-3km</t>
  </si>
  <si>
    <t>共橙一站式超市（金安区三十铺镇长江东路店）-86km
惠宜选-六安幸福里店-10km
厉臣-六安御景湾店-12km
惠宜选-六安城南店-11km</t>
  </si>
  <si>
    <t>惠宜选-六安市金寨店-149km
惠宜选超市（金寨石船巷路店）-2km
共橙一站式超市（六安观山路店）-17km</t>
  </si>
  <si>
    <t>惠宜选超市（六安霍山店）-164km
共橙一站式超市（岳西木冲巷店）-80km
共橙一站式超市（潜山皖潜大道店）-47km
惠宜选-安庆太湖店-88km
共橙一站式超市（安庆宿松县店）-50km</t>
  </si>
  <si>
    <t>惠宜选-安庆师范大学店-180km
惠宜选-安庆宜秀店-66km
共橙超市-安庆吾悦店-10km
共橙一站式超市（东至县环城西路店）-59km
共橙一站式超市（安庆望江大道店）-47km</t>
  </si>
  <si>
    <t>厉臣便利（舒城杭埠镇店）-92km
共橙超市-六安舒城店-28km
惠宜选-安庆桐城店-55km
惠宜选超市（怀宁孔雀路店）-41km
共橙超市-安庆怀宁店-2km</t>
  </si>
  <si>
    <t>惠宜选-合肥庐江店-120km
惠宜选-铜陵吾悦广场店-100km
共橙一站式超市（青阳庙前路店）-53km
惠宜选-安徽池州店-41km
共橙一站式超市（池州双溪路店）-6km
厉臣-铜陵枞阳天城上府店-36km
共橙一站式超市（枞阳渡江路店）-5km</t>
  </si>
  <si>
    <t>惠宜选-徐州沛县店-348km
共橙一站式超市（徐州周昌路店）-4km
惠宜选-徐州丰县店-38km</t>
  </si>
  <si>
    <t>帮帮团-徐州睢宁店-309km
厉臣便利（邳州青年路店）-76km
帮帮团（邳州长江路店）-5km
惠宜选-徐州新沂店-40km
共橙超市-徐州新沂2店-3km</t>
  </si>
  <si>
    <t>惠宜选超市（徐州新城区店）-330km
惠宜选超市（徐州站南路店）-6km
共橙超市-徐州贾汪吾悦广场店-32km
惠宜选超市（徐州中信巷店）-15km</t>
  </si>
  <si>
    <t>厉臣便利（蚌埠山香路店）-152km
厉臣-蚌埠市蚌山区二中店-6km
厉臣便利（蚌埠朝阳路店）-3km
厉臣便利（蚌埠奋进路店）-5km
厉臣-蚌埠淮上风情街店-7km
厉臣便利（蚌埠淮上大道店）-3km
惠宜选超市（怀远榴城路店）-15km
惠宜选-蚌埠怀远店-3km</t>
  </si>
  <si>
    <t>共橙一站式超市（潜山皖潜大道店）-192km
惠宜选-安庆太湖店-88km
共橙一站式超市（安庆宿松县店）-50km</t>
  </si>
  <si>
    <t>共橙超市-安庆怀宁店-167km
惠宜选-安庆师范大学店-25km
共橙超市-安庆吾悦店-15km
共橙一站式超市（东至县环城西路店）-59km</t>
  </si>
  <si>
    <t>共橙超市-池州青阳店-195km
共橙一站式超市（青阳庙前路店）-2km
共橙一站式超市（池州双溪路店）-44km
惠宜选-安徽池州店-7km</t>
  </si>
  <si>
    <t>惠宜选-安庆桐城店-127km
惠宜选-安庆潜山店-69km
共橙一站式超市（岳西木冲巷店）-53km</t>
  </si>
  <si>
    <t>厉臣便利（舒城杭埠镇店）-92km
惠宜选-合肥庐江店-37km
共橙一站式超市（枞阳渡江路店）-73km
惠宜选-安庆宜秀店-30km</t>
  </si>
  <si>
    <t>厉臣-六安御景湾店-98km
惠宜选-六安市金寨店-68km
惠宜选超市（金寨石船巷路店）-2km
共橙一站式超市（六安观山路店）-17km</t>
  </si>
  <si>
    <t>共橙一站式超市（金安区三十铺镇长江东路店）-86km
惠宜选-六安幸福里店-10km
惠宜选-六安城南店-12km
惠宜选超市（六安霍山店）-43km</t>
  </si>
  <si>
    <t>惠宜选超市（徐州苏堤路店）-344km
共橙一站式超市-徐州新淮海西路店-3.4km
惠宜选-徐州沛县店-66km
共橙一站式超市（徐州周昌路店）-4km
惠宜选-徐州丰县店-38km</t>
  </si>
  <si>
    <t>厉臣便利（蚌埠山香路店）-152km
厉臣-蚌埠市蚌山区二中店-6km
厉臣便利（蚌埠朝阳路店）-3km
厉臣便利（蚌埠奋进路店）-5km
惠宜选超市（怀远榴城路店）-15.33km
惠宜选-蚌埠怀远店-3km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</si>
</sst>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5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6">
      <alignment vertical="center"/>
    </xf>
    <xf numFmtId="0" fontId="8" fillId="0" borderId="6">
      <alignment vertical="center"/>
    </xf>
    <xf numFmtId="0" fontId="9" fillId="0" borderId="7">
      <alignment vertical="center"/>
    </xf>
    <xf numFmtId="0" fontId="9" fillId="0" borderId="0">
      <alignment vertical="center"/>
    </xf>
    <xf numFmtId="0" fontId="10" fillId="3" borderId="8">
      <alignment vertical="center"/>
    </xf>
    <xf numFmtId="0" fontId="11" fillId="4" borderId="9">
      <alignment vertical="center"/>
    </xf>
    <xf numFmtId="0" fontId="12" fillId="4" borderId="8">
      <alignment vertical="center"/>
    </xf>
    <xf numFmtId="0" fontId="13" fillId="5" borderId="10">
      <alignment vertical="center"/>
    </xf>
    <xf numFmtId="0" fontId="14" fillId="0" borderId="11">
      <alignment vertical="center"/>
    </xf>
    <xf numFmtId="0" fontId="15" fillId="0" borderId="12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15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76" fontId="1" fillId="0" borderId="0" xfId="0" applyNumberFormat="1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58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58" fontId="1" fillId="0" borderId="3" xfId="0" applyNumberFormat="1" applyFont="1" applyBorder="1" applyAlignment="1">
      <alignment horizontal="center" vertical="center" wrapText="1"/>
    </xf>
    <xf numFmtId="58" fontId="1" fillId="0" borderId="1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2"/>
  <sheetViews>
    <sheetView tabSelected="1" workbookViewId="0">
      <pane ySplit="1" topLeftCell="A19" activePane="bottomLeft" state="frozen"/>
      <selection/>
      <selection pane="bottomLeft" activeCell="C27" sqref="C27"/>
    </sheetView>
  </sheetViews>
  <sheetFormatPr defaultColWidth="15.6634615384615" defaultRowHeight="17.6"/>
  <cols>
    <col min="1" max="1" width="11.3365384615385" style="1" customWidth="1"/>
    <col min="2" max="2" width="11.1346153846154" style="1" customWidth="1"/>
    <col min="3" max="3" width="49.3365384615385" style="2" customWidth="1"/>
    <col min="4" max="4" width="15.8653846153846" style="1" customWidth="1"/>
    <col min="5" max="5" width="12.1346153846154" style="1" hidden="1" customWidth="1"/>
    <col min="6" max="7" width="15.6634615384615" style="3" customWidth="1"/>
    <col min="8" max="8" width="14.2019230769231" style="3" customWidth="1"/>
    <col min="9" max="9" width="12.2019230769231" style="3" customWidth="1"/>
    <col min="10" max="10" width="11.5288461538462" style="3" customWidth="1"/>
    <col min="11" max="11" width="15.6634615384615" style="3" customWidth="1"/>
    <col min="12" max="16384" width="15.6634615384615" style="1" customWidth="1"/>
  </cols>
  <sheetData>
    <row r="1" ht="30" customHeight="1" spans="1:14">
      <c r="A1" s="4" t="s">
        <v>0</v>
      </c>
      <c r="B1" s="4" t="s">
        <v>1</v>
      </c>
      <c r="C1" s="5" t="s">
        <v>2</v>
      </c>
      <c r="D1" s="4" t="s">
        <v>3</v>
      </c>
      <c r="E1" s="4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8</v>
      </c>
      <c r="L1" s="4" t="s">
        <v>9</v>
      </c>
      <c r="M1" s="4" t="s">
        <v>10</v>
      </c>
      <c r="N1" s="4" t="s">
        <v>11</v>
      </c>
    </row>
    <row r="2" ht="78.75" customHeight="1" spans="1:14">
      <c r="A2" s="4">
        <v>1</v>
      </c>
      <c r="B2" s="7">
        <v>46054</v>
      </c>
      <c r="C2" s="5" t="s">
        <v>12</v>
      </c>
      <c r="D2" s="4">
        <f t="array" ref="D2">SUM(VALUE(SUBSTITUTE(_xlfn.TEXTAFTER(_xlfn.TEXTSPLIT(C2,CHAR(10)),"-",-1),"km","")))</f>
        <v>180</v>
      </c>
      <c r="E2" s="4">
        <f>42+63+10+12+10+8</f>
        <v>145</v>
      </c>
      <c r="F2" s="6">
        <f t="shared" ref="F2:F65" si="0">G2/1.09</f>
        <v>3.85321100917431</v>
      </c>
      <c r="G2" s="6">
        <f t="shared" ref="G2:G65" si="1">IF(D2&lt;=100,440,IF(D2&lt;=200,4.2,IF(D2&lt;=300,4,3.9)))</f>
        <v>4.2</v>
      </c>
      <c r="H2" s="6">
        <f t="shared" ref="H2:H65" si="2">D2*F2</f>
        <v>693.577981651376</v>
      </c>
      <c r="I2" s="6">
        <f t="shared" ref="I2:I65" si="3">D2*G2</f>
        <v>756</v>
      </c>
      <c r="J2" s="6">
        <f t="shared" ref="J2:J65" si="4">IF(D2&lt;=100,400,IF(D2&lt;=300,3.2,3))</f>
        <v>3.2</v>
      </c>
      <c r="K2" s="6">
        <f t="shared" ref="K2:K65" si="5">D2*J2</f>
        <v>576</v>
      </c>
      <c r="L2" s="4"/>
      <c r="M2" s="4"/>
      <c r="N2" s="4"/>
    </row>
    <row r="3" ht="88" spans="1:14">
      <c r="A3" s="4">
        <v>2</v>
      </c>
      <c r="B3" s="7">
        <v>46055</v>
      </c>
      <c r="C3" s="5" t="s">
        <v>13</v>
      </c>
      <c r="D3" s="4">
        <f t="array" ref="D3">SUM(VALUE(SUBSTITUTE(_xlfn.TEXTAFTER(_xlfn.TEXTSPLIT(C3,CHAR(10)),"-",-1),"km","")))</f>
        <v>119</v>
      </c>
      <c r="E3" s="4">
        <f>143+48+43+36</f>
        <v>270</v>
      </c>
      <c r="F3" s="6">
        <f t="shared" si="0"/>
        <v>3.85321100917431</v>
      </c>
      <c r="G3" s="6">
        <f t="shared" si="1"/>
        <v>4.2</v>
      </c>
      <c r="H3" s="6">
        <f t="shared" si="2"/>
        <v>458.532110091743</v>
      </c>
      <c r="I3" s="6">
        <f t="shared" si="3"/>
        <v>499.8</v>
      </c>
      <c r="J3" s="6">
        <f t="shared" si="4"/>
        <v>3.2</v>
      </c>
      <c r="K3" s="6">
        <f t="shared" si="5"/>
        <v>380.8</v>
      </c>
      <c r="L3" s="4"/>
      <c r="M3" s="4"/>
      <c r="N3" s="4"/>
    </row>
    <row r="4" ht="53" spans="1:14">
      <c r="A4" s="4">
        <v>3</v>
      </c>
      <c r="B4" s="7">
        <v>46055</v>
      </c>
      <c r="C4" s="5" t="s">
        <v>14</v>
      </c>
      <c r="D4" s="4">
        <f t="array" ref="D4">SUM(VALUE(SUBSTITUTE(_xlfn.TEXTAFTER(_xlfn.TEXTSPLIT(C4,CHAR(10)),"-",-1),"km","")))</f>
        <v>168</v>
      </c>
      <c r="E4" s="4">
        <v>1</v>
      </c>
      <c r="F4" s="6">
        <f t="shared" si="0"/>
        <v>3.85321100917431</v>
      </c>
      <c r="G4" s="6">
        <f t="shared" si="1"/>
        <v>4.2</v>
      </c>
      <c r="H4" s="6">
        <f t="shared" si="2"/>
        <v>647.339449541284</v>
      </c>
      <c r="I4" s="6">
        <f t="shared" si="3"/>
        <v>705.6</v>
      </c>
      <c r="J4" s="6">
        <f t="shared" si="4"/>
        <v>3.2</v>
      </c>
      <c r="K4" s="6">
        <f t="shared" si="5"/>
        <v>537.6</v>
      </c>
      <c r="L4" s="4"/>
      <c r="M4" s="4"/>
      <c r="N4" s="4"/>
    </row>
    <row r="5" ht="88" spans="1:14">
      <c r="A5" s="4">
        <v>4</v>
      </c>
      <c r="B5" s="7">
        <v>46055</v>
      </c>
      <c r="C5" s="8" t="s">
        <v>15</v>
      </c>
      <c r="D5" s="4">
        <f t="array" ref="D5">SUM(VALUE(SUBSTITUTE(_xlfn.TEXTAFTER(_xlfn.TEXTSPLIT(C5,CHAR(10)),"-",-1),"km","")))</f>
        <v>429</v>
      </c>
      <c r="E5" s="4">
        <v>2</v>
      </c>
      <c r="F5" s="6">
        <f t="shared" si="0"/>
        <v>3.57798165137615</v>
      </c>
      <c r="G5" s="6">
        <f t="shared" si="1"/>
        <v>3.9</v>
      </c>
      <c r="H5" s="6">
        <f t="shared" si="2"/>
        <v>1534.95412844037</v>
      </c>
      <c r="I5" s="6">
        <f t="shared" si="3"/>
        <v>1673.1</v>
      </c>
      <c r="J5" s="6">
        <f t="shared" si="4"/>
        <v>3</v>
      </c>
      <c r="K5" s="6">
        <f t="shared" si="5"/>
        <v>1287</v>
      </c>
      <c r="L5" s="9"/>
      <c r="M5" s="9"/>
      <c r="N5" s="9"/>
    </row>
    <row r="6" ht="88" spans="1:14">
      <c r="A6" s="4">
        <v>5</v>
      </c>
      <c r="B6" s="7">
        <v>46055</v>
      </c>
      <c r="C6" s="8" t="s">
        <v>16</v>
      </c>
      <c r="D6" s="4">
        <f t="array" ref="D6">SUM(VALUE(SUBSTITUTE(_xlfn.TEXTAFTER(_xlfn.TEXTSPLIT(C6,CHAR(10)),"-",-1),"km","")))</f>
        <v>362</v>
      </c>
      <c r="E6" s="9"/>
      <c r="F6" s="6">
        <f t="shared" si="0"/>
        <v>3.57798165137615</v>
      </c>
      <c r="G6" s="6">
        <f t="shared" si="1"/>
        <v>3.9</v>
      </c>
      <c r="H6" s="6">
        <f t="shared" si="2"/>
        <v>1295.22935779816</v>
      </c>
      <c r="I6" s="6">
        <f t="shared" si="3"/>
        <v>1411.8</v>
      </c>
      <c r="J6" s="6">
        <f t="shared" si="4"/>
        <v>3</v>
      </c>
      <c r="K6" s="6">
        <f t="shared" si="5"/>
        <v>1086</v>
      </c>
      <c r="L6" s="9"/>
      <c r="M6" s="9"/>
      <c r="N6" s="9"/>
    </row>
    <row r="7" ht="88" spans="1:14">
      <c r="A7" s="4">
        <v>6</v>
      </c>
      <c r="B7" s="7">
        <v>46055</v>
      </c>
      <c r="C7" s="8" t="s">
        <v>17</v>
      </c>
      <c r="D7" s="4">
        <f t="array" ref="D7">SUM(VALUE(SUBSTITUTE(_xlfn.TEXTAFTER(_xlfn.TEXTSPLIT(C7,CHAR(10)),"-",-1),"km","")))</f>
        <v>218</v>
      </c>
      <c r="E7" s="9"/>
      <c r="F7" s="6">
        <f t="shared" si="0"/>
        <v>3.6697247706422</v>
      </c>
      <c r="G7" s="6">
        <f t="shared" si="1"/>
        <v>4</v>
      </c>
      <c r="H7" s="6">
        <f t="shared" si="2"/>
        <v>800</v>
      </c>
      <c r="I7" s="6">
        <f t="shared" si="3"/>
        <v>872</v>
      </c>
      <c r="J7" s="6">
        <f t="shared" si="4"/>
        <v>3.2</v>
      </c>
      <c r="K7" s="6">
        <f t="shared" si="5"/>
        <v>697.6</v>
      </c>
      <c r="L7" s="9"/>
      <c r="M7" s="9"/>
      <c r="N7" s="9"/>
    </row>
    <row r="8" ht="124" spans="1:14">
      <c r="A8" s="4">
        <v>7</v>
      </c>
      <c r="B8" s="7">
        <v>46055</v>
      </c>
      <c r="C8" s="8" t="s">
        <v>18</v>
      </c>
      <c r="D8" s="9">
        <f t="array" ref="D8">SUM(VALUE(SUBSTITUTE(_xlfn.TEXTAFTER(_xlfn.TEXTSPLIT(C8,CHAR(10)),"-",-1),"km","")))</f>
        <v>361</v>
      </c>
      <c r="E8" s="9">
        <f>98+96</f>
        <v>194</v>
      </c>
      <c r="F8" s="6">
        <f t="shared" si="0"/>
        <v>3.57798165137615</v>
      </c>
      <c r="G8" s="6">
        <f t="shared" si="1"/>
        <v>3.9</v>
      </c>
      <c r="H8" s="10">
        <f t="shared" si="2"/>
        <v>1291.65137614679</v>
      </c>
      <c r="I8" s="10">
        <f t="shared" si="3"/>
        <v>1407.9</v>
      </c>
      <c r="J8" s="6">
        <f t="shared" si="4"/>
        <v>3</v>
      </c>
      <c r="K8" s="10">
        <f t="shared" si="5"/>
        <v>1083</v>
      </c>
      <c r="L8" s="9"/>
      <c r="M8" s="9"/>
      <c r="N8" s="9"/>
    </row>
    <row r="9" ht="53" spans="1:14">
      <c r="A9" s="4">
        <v>8</v>
      </c>
      <c r="B9" s="7">
        <v>46056</v>
      </c>
      <c r="C9" s="5" t="s">
        <v>19</v>
      </c>
      <c r="D9" s="4">
        <f t="array" ref="D9">SUM(VALUE(SUBSTITUTE(_xlfn.TEXTAFTER(_xlfn.TEXTSPLIT(C9,CHAR(10)),"-",-1),"km","")))</f>
        <v>390</v>
      </c>
      <c r="E9" s="4">
        <f>120+74+34+43</f>
        <v>271</v>
      </c>
      <c r="F9" s="6">
        <f t="shared" si="0"/>
        <v>3.57798165137615</v>
      </c>
      <c r="G9" s="6">
        <f t="shared" si="1"/>
        <v>3.9</v>
      </c>
      <c r="H9" s="6">
        <f t="shared" si="2"/>
        <v>1395.4128440367</v>
      </c>
      <c r="I9" s="6">
        <f t="shared" si="3"/>
        <v>1521</v>
      </c>
      <c r="J9" s="6">
        <f t="shared" si="4"/>
        <v>3</v>
      </c>
      <c r="K9" s="6">
        <f t="shared" si="5"/>
        <v>1170</v>
      </c>
      <c r="L9" s="4"/>
      <c r="M9" s="4"/>
      <c r="N9" s="4"/>
    </row>
    <row r="10" ht="88" spans="1:14">
      <c r="A10" s="4">
        <v>9</v>
      </c>
      <c r="B10" s="7">
        <v>46056</v>
      </c>
      <c r="C10" s="5" t="s">
        <v>20</v>
      </c>
      <c r="D10" s="4">
        <f t="array" ref="D10">SUM(VALUE(SUBSTITUTE(_xlfn.TEXTAFTER(_xlfn.TEXTSPLIT(C10,CHAR(10)),"-",-1),"km","")))</f>
        <v>433</v>
      </c>
      <c r="E10" s="4">
        <f t="shared" ref="E10:E15" si="6">180+16+9.5+59+47</f>
        <v>311.5</v>
      </c>
      <c r="F10" s="6">
        <f t="shared" si="0"/>
        <v>3.57798165137615</v>
      </c>
      <c r="G10" s="6">
        <f t="shared" si="1"/>
        <v>3.9</v>
      </c>
      <c r="H10" s="6">
        <f t="shared" si="2"/>
        <v>1549.26605504587</v>
      </c>
      <c r="I10" s="6">
        <f t="shared" si="3"/>
        <v>1688.7</v>
      </c>
      <c r="J10" s="6">
        <f t="shared" si="4"/>
        <v>3</v>
      </c>
      <c r="K10" s="6">
        <f t="shared" si="5"/>
        <v>1299</v>
      </c>
      <c r="L10" s="4"/>
      <c r="M10" s="4"/>
      <c r="N10" s="4"/>
    </row>
    <row r="11" ht="71" spans="1:14">
      <c r="A11" s="4">
        <v>10</v>
      </c>
      <c r="B11" s="7">
        <v>46056</v>
      </c>
      <c r="C11" s="5" t="s">
        <v>21</v>
      </c>
      <c r="D11" s="4">
        <f t="array" ref="D11">SUM(VALUE(SUBSTITUTE(_xlfn.TEXTAFTER(_xlfn.TEXTSPLIT(C11,CHAR(10)),"-",-1),"km","")))</f>
        <v>383</v>
      </c>
      <c r="E11" s="4">
        <f t="shared" si="6"/>
        <v>311.5</v>
      </c>
      <c r="F11" s="6">
        <f t="shared" si="0"/>
        <v>3.57798165137615</v>
      </c>
      <c r="G11" s="6">
        <f t="shared" si="1"/>
        <v>3.9</v>
      </c>
      <c r="H11" s="6">
        <f t="shared" si="2"/>
        <v>1370.36697247706</v>
      </c>
      <c r="I11" s="6">
        <f t="shared" si="3"/>
        <v>1493.7</v>
      </c>
      <c r="J11" s="6">
        <f t="shared" si="4"/>
        <v>3</v>
      </c>
      <c r="K11" s="6">
        <f t="shared" si="5"/>
        <v>1149</v>
      </c>
      <c r="L11" s="4"/>
      <c r="M11" s="4"/>
      <c r="N11" s="4"/>
    </row>
    <row r="12" ht="141" spans="1:14">
      <c r="A12" s="4">
        <v>11</v>
      </c>
      <c r="B12" s="7">
        <v>46056</v>
      </c>
      <c r="C12" s="5" t="s">
        <v>22</v>
      </c>
      <c r="D12" s="4">
        <f t="array" ref="D12">SUM(VALUE(SUBSTITUTE(_xlfn.TEXTAFTER(_xlfn.TEXTSPLIT(C12,CHAR(10)),"-",-1),"km","")))</f>
        <v>194</v>
      </c>
      <c r="E12" s="4">
        <f t="shared" si="6"/>
        <v>311.5</v>
      </c>
      <c r="F12" s="6">
        <f t="shared" si="0"/>
        <v>3.85321100917431</v>
      </c>
      <c r="G12" s="6">
        <f t="shared" si="1"/>
        <v>4.2</v>
      </c>
      <c r="H12" s="6">
        <f t="shared" si="2"/>
        <v>747.522935779817</v>
      </c>
      <c r="I12" s="6">
        <f t="shared" si="3"/>
        <v>814.8</v>
      </c>
      <c r="J12" s="6">
        <f t="shared" si="4"/>
        <v>3.2</v>
      </c>
      <c r="K12" s="6">
        <f t="shared" si="5"/>
        <v>620.8</v>
      </c>
      <c r="L12" s="4"/>
      <c r="M12" s="4"/>
      <c r="N12" s="4"/>
    </row>
    <row r="13" ht="53" spans="1:14">
      <c r="A13" s="4">
        <v>12</v>
      </c>
      <c r="B13" s="7">
        <v>46058</v>
      </c>
      <c r="C13" s="5" t="s">
        <v>23</v>
      </c>
      <c r="D13" s="4">
        <f t="array" ref="D13">SUM(VALUE(SUBSTITUTE(_xlfn.TEXTAFTER(_xlfn.TEXTSPLIT(C13,CHAR(10)),"-",-1),"km","")))</f>
        <v>330</v>
      </c>
      <c r="E13" s="4">
        <f t="shared" si="6"/>
        <v>311.5</v>
      </c>
      <c r="F13" s="6">
        <f t="shared" si="0"/>
        <v>3.57798165137615</v>
      </c>
      <c r="G13" s="6">
        <f t="shared" si="1"/>
        <v>3.9</v>
      </c>
      <c r="H13" s="6">
        <f t="shared" si="2"/>
        <v>1180.73394495413</v>
      </c>
      <c r="I13" s="6">
        <f t="shared" si="3"/>
        <v>1287</v>
      </c>
      <c r="J13" s="6">
        <f t="shared" si="4"/>
        <v>3</v>
      </c>
      <c r="K13" s="6">
        <f t="shared" si="5"/>
        <v>990</v>
      </c>
      <c r="L13" s="4"/>
      <c r="M13" s="4"/>
      <c r="N13" s="4"/>
    </row>
    <row r="14" ht="71" spans="1:14">
      <c r="A14" s="4">
        <v>13</v>
      </c>
      <c r="B14" s="7">
        <v>46058</v>
      </c>
      <c r="C14" s="5" t="s">
        <v>24</v>
      </c>
      <c r="D14" s="4">
        <f t="array" ref="D14">SUM(VALUE(SUBSTITUTE(_xlfn.TEXTAFTER(_xlfn.TEXTSPLIT(C14,CHAR(10)),"-",-1),"km","")))</f>
        <v>266</v>
      </c>
      <c r="E14" s="4">
        <f t="shared" si="6"/>
        <v>311.5</v>
      </c>
      <c r="F14" s="6">
        <f t="shared" si="0"/>
        <v>3.6697247706422</v>
      </c>
      <c r="G14" s="6">
        <f t="shared" si="1"/>
        <v>4</v>
      </c>
      <c r="H14" s="6">
        <f t="shared" si="2"/>
        <v>976.146788990826</v>
      </c>
      <c r="I14" s="6">
        <f t="shared" si="3"/>
        <v>1064</v>
      </c>
      <c r="J14" s="6">
        <f t="shared" si="4"/>
        <v>3.2</v>
      </c>
      <c r="K14" s="6">
        <f t="shared" si="5"/>
        <v>851.2</v>
      </c>
      <c r="L14" s="4"/>
      <c r="M14" s="4"/>
      <c r="N14" s="4"/>
    </row>
    <row r="15" ht="71" spans="1:14">
      <c r="A15" s="4">
        <v>14</v>
      </c>
      <c r="B15" s="7">
        <v>46058</v>
      </c>
      <c r="C15" s="5" t="s">
        <v>25</v>
      </c>
      <c r="D15" s="4">
        <f t="array" ref="D15">SUM(VALUE(SUBSTITUTE(_xlfn.TEXTAFTER(_xlfn.TEXTSPLIT(C15,CHAR(10)),"-",-1),"km","")))</f>
        <v>248</v>
      </c>
      <c r="E15" s="4">
        <f t="shared" si="6"/>
        <v>311.5</v>
      </c>
      <c r="F15" s="6">
        <f t="shared" si="0"/>
        <v>3.6697247706422</v>
      </c>
      <c r="G15" s="6">
        <f t="shared" si="1"/>
        <v>4</v>
      </c>
      <c r="H15" s="6">
        <f t="shared" si="2"/>
        <v>910.091743119266</v>
      </c>
      <c r="I15" s="6">
        <f t="shared" si="3"/>
        <v>992</v>
      </c>
      <c r="J15" s="6">
        <f t="shared" si="4"/>
        <v>3.2</v>
      </c>
      <c r="K15" s="6">
        <f t="shared" si="5"/>
        <v>793.6</v>
      </c>
      <c r="L15" s="4"/>
      <c r="M15" s="4"/>
      <c r="N15" s="4"/>
    </row>
    <row r="16" ht="53" spans="1:14">
      <c r="A16" s="4">
        <v>15</v>
      </c>
      <c r="B16" s="7">
        <v>46058</v>
      </c>
      <c r="C16" s="5" t="s">
        <v>26</v>
      </c>
      <c r="D16" s="4">
        <f t="array" ref="D16">SUM(VALUE(SUBSTITUTE(_xlfn.TEXTAFTER(_xlfn.TEXTSPLIT(C16,CHAR(10)),"-",-1),"km","")))</f>
        <v>249</v>
      </c>
      <c r="E16" s="4">
        <f>98+55</f>
        <v>153</v>
      </c>
      <c r="F16" s="6">
        <f t="shared" si="0"/>
        <v>3.6697247706422</v>
      </c>
      <c r="G16" s="6">
        <f t="shared" si="1"/>
        <v>4</v>
      </c>
      <c r="H16" s="6">
        <f t="shared" si="2"/>
        <v>913.761467889908</v>
      </c>
      <c r="I16" s="6">
        <f t="shared" si="3"/>
        <v>996</v>
      </c>
      <c r="J16" s="6">
        <f t="shared" si="4"/>
        <v>3.2</v>
      </c>
      <c r="K16" s="6">
        <f t="shared" si="5"/>
        <v>796.8</v>
      </c>
      <c r="L16" s="4"/>
      <c r="M16" s="4"/>
      <c r="N16" s="4"/>
    </row>
    <row r="17" ht="71" spans="1:14">
      <c r="A17" s="4">
        <v>16</v>
      </c>
      <c r="B17" s="11">
        <v>46058</v>
      </c>
      <c r="C17" s="5" t="s">
        <v>27</v>
      </c>
      <c r="D17" s="4">
        <f t="array" ref="D17">SUM(VALUE(SUBSTITUTE(_xlfn.TEXTAFTER(_xlfn.TEXTSPLIT(C17,CHAR(10)),"-",-1),"km","")))</f>
        <v>232</v>
      </c>
      <c r="E17" s="4">
        <f>184+42+50</f>
        <v>276</v>
      </c>
      <c r="F17" s="6">
        <f t="shared" si="0"/>
        <v>3.6697247706422</v>
      </c>
      <c r="G17" s="6">
        <f t="shared" si="1"/>
        <v>4</v>
      </c>
      <c r="H17" s="6">
        <f t="shared" si="2"/>
        <v>851.376146788991</v>
      </c>
      <c r="I17" s="6">
        <f t="shared" si="3"/>
        <v>928</v>
      </c>
      <c r="J17" s="6">
        <f t="shared" si="4"/>
        <v>3.2</v>
      </c>
      <c r="K17" s="6">
        <f t="shared" si="5"/>
        <v>742.4</v>
      </c>
      <c r="L17" s="4"/>
      <c r="M17" s="4"/>
      <c r="N17" s="4"/>
    </row>
    <row r="18" ht="71" spans="1:14">
      <c r="A18" s="4">
        <v>17</v>
      </c>
      <c r="B18" s="11">
        <v>46058</v>
      </c>
      <c r="C18" s="5" t="s">
        <v>28</v>
      </c>
      <c r="D18" s="4">
        <f t="array" ref="D18">SUM(VALUE(SUBSTITUTE(_xlfn.TEXTAFTER(_xlfn.TEXTSPLIT(C18,CHAR(10)),"-",-1),"km","")))</f>
        <v>185</v>
      </c>
      <c r="E18" s="4">
        <f>180+61+46</f>
        <v>287</v>
      </c>
      <c r="F18" s="6">
        <f t="shared" si="0"/>
        <v>3.85321100917431</v>
      </c>
      <c r="G18" s="6">
        <f t="shared" si="1"/>
        <v>4.2</v>
      </c>
      <c r="H18" s="6">
        <f t="shared" si="2"/>
        <v>712.844036697248</v>
      </c>
      <c r="I18" s="6">
        <f t="shared" si="3"/>
        <v>777</v>
      </c>
      <c r="J18" s="6">
        <f t="shared" si="4"/>
        <v>3.2</v>
      </c>
      <c r="K18" s="6">
        <f t="shared" si="5"/>
        <v>592</v>
      </c>
      <c r="L18" s="4"/>
      <c r="M18" s="4"/>
      <c r="N18" s="4"/>
    </row>
    <row r="19" ht="88" spans="1:14">
      <c r="A19" s="4">
        <v>18</v>
      </c>
      <c r="B19" s="11">
        <v>46058</v>
      </c>
      <c r="C19" s="5" t="s">
        <v>29</v>
      </c>
      <c r="D19" s="4">
        <f t="array" ref="D19">SUM(VALUE(SUBSTITUTE(_xlfn.TEXTAFTER(_xlfn.TEXTSPLIT(C19,CHAR(10)),"-",-1),"km","")))</f>
        <v>151</v>
      </c>
      <c r="E19" s="4">
        <f>18+100+10+7</f>
        <v>135</v>
      </c>
      <c r="F19" s="6">
        <f t="shared" si="0"/>
        <v>3.85321100917431</v>
      </c>
      <c r="G19" s="6">
        <f t="shared" si="1"/>
        <v>4.2</v>
      </c>
      <c r="H19" s="6">
        <f t="shared" si="2"/>
        <v>581.834862385321</v>
      </c>
      <c r="I19" s="6">
        <f t="shared" si="3"/>
        <v>634.2</v>
      </c>
      <c r="J19" s="6">
        <f t="shared" si="4"/>
        <v>3.2</v>
      </c>
      <c r="K19" s="6">
        <f t="shared" si="5"/>
        <v>483.2</v>
      </c>
      <c r="L19" s="4"/>
      <c r="M19" s="4"/>
      <c r="N19" s="4"/>
    </row>
    <row r="20" ht="88" spans="1:14">
      <c r="A20" s="4">
        <v>19</v>
      </c>
      <c r="B20" s="11">
        <v>46059</v>
      </c>
      <c r="C20" s="5" t="s">
        <v>20</v>
      </c>
      <c r="D20" s="4">
        <f t="array" ref="D20">SUM(VALUE(SUBSTITUTE(_xlfn.TEXTAFTER(_xlfn.TEXTSPLIT(C20,CHAR(10)),"-",-1),"km","")))</f>
        <v>433</v>
      </c>
      <c r="E20" s="4">
        <f>98+10+62+17</f>
        <v>187</v>
      </c>
      <c r="F20" s="6">
        <f t="shared" si="0"/>
        <v>3.57798165137615</v>
      </c>
      <c r="G20" s="6">
        <f t="shared" si="1"/>
        <v>3.9</v>
      </c>
      <c r="H20" s="6">
        <f t="shared" si="2"/>
        <v>1549.26605504587</v>
      </c>
      <c r="I20" s="6">
        <f t="shared" si="3"/>
        <v>1688.7</v>
      </c>
      <c r="J20" s="6">
        <f t="shared" si="4"/>
        <v>3</v>
      </c>
      <c r="K20" s="6">
        <f t="shared" si="5"/>
        <v>1299</v>
      </c>
      <c r="L20" s="4"/>
      <c r="M20" s="4"/>
      <c r="N20" s="4"/>
    </row>
    <row r="21" ht="88" spans="1:14">
      <c r="A21" s="4">
        <v>20</v>
      </c>
      <c r="B21" s="11">
        <v>46059</v>
      </c>
      <c r="C21" s="5" t="s">
        <v>30</v>
      </c>
      <c r="D21" s="4">
        <f t="array" ref="D21">SUM(VALUE(SUBSTITUTE(_xlfn.TEXTAFTER(_xlfn.TEXTSPLIT(C21,CHAR(10)),"-",-1),"km","")))</f>
        <v>455.4</v>
      </c>
      <c r="E21" s="4">
        <f>84+3+89</f>
        <v>176</v>
      </c>
      <c r="F21" s="6">
        <f t="shared" si="0"/>
        <v>3.57798165137615</v>
      </c>
      <c r="G21" s="6">
        <f t="shared" si="1"/>
        <v>3.9</v>
      </c>
      <c r="H21" s="6">
        <f t="shared" si="2"/>
        <v>1629.4128440367</v>
      </c>
      <c r="I21" s="6">
        <f t="shared" si="3"/>
        <v>1776.06</v>
      </c>
      <c r="J21" s="6">
        <f t="shared" si="4"/>
        <v>3</v>
      </c>
      <c r="K21" s="6">
        <f t="shared" si="5"/>
        <v>1366.2</v>
      </c>
      <c r="L21" s="4"/>
      <c r="M21" s="4"/>
      <c r="N21" s="4"/>
    </row>
    <row r="22" ht="106" spans="1:14">
      <c r="A22" s="4">
        <v>21</v>
      </c>
      <c r="B22" s="11">
        <v>46059</v>
      </c>
      <c r="C22" s="5" t="s">
        <v>31</v>
      </c>
      <c r="D22" s="4">
        <f t="array" ref="D22">SUM(VALUE(SUBSTITUTE(_xlfn.TEXTAFTER(_xlfn.TEXTSPLIT(C22,CHAR(10)),"-",-1),"km","")))</f>
        <v>184.33</v>
      </c>
      <c r="E22" s="4">
        <f>84+3+89</f>
        <v>176</v>
      </c>
      <c r="F22" s="6">
        <f t="shared" si="0"/>
        <v>3.85321100917431</v>
      </c>
      <c r="G22" s="6">
        <f t="shared" si="1"/>
        <v>4.2</v>
      </c>
      <c r="H22" s="6">
        <f t="shared" si="2"/>
        <v>710.262385321101</v>
      </c>
      <c r="I22" s="6">
        <f t="shared" si="3"/>
        <v>774.186</v>
      </c>
      <c r="J22" s="6">
        <f t="shared" si="4"/>
        <v>3.2</v>
      </c>
      <c r="K22" s="6">
        <f t="shared" si="5"/>
        <v>589.856</v>
      </c>
      <c r="L22" s="4"/>
      <c r="M22" s="4"/>
      <c r="N22" s="4"/>
    </row>
    <row r="23" spans="1:14">
      <c r="A23" s="4">
        <v>22</v>
      </c>
      <c r="B23" s="11"/>
      <c r="C23" s="5"/>
      <c r="D23" s="4" t="e">
        <f t="array" ref="D23">SUM(VALUE(SUBSTITUTE(_xlfn.TEXTAFTER(_xlfn.TEXTSPLIT(C23,CHAR(10)),"-",-1),"km","")))</f>
        <v>#VALUE!</v>
      </c>
      <c r="E23" s="4">
        <f>98+116+34+42+50</f>
        <v>340</v>
      </c>
      <c r="F23" s="6" t="e">
        <f t="shared" si="0"/>
        <v>#VALUE!</v>
      </c>
      <c r="G23" s="6" t="e">
        <f t="shared" si="1"/>
        <v>#VALUE!</v>
      </c>
      <c r="H23" s="6" t="e">
        <f t="shared" si="2"/>
        <v>#VALUE!</v>
      </c>
      <c r="I23" s="6" t="e">
        <f t="shared" si="3"/>
        <v>#VALUE!</v>
      </c>
      <c r="J23" s="6" t="e">
        <f t="shared" si="4"/>
        <v>#VALUE!</v>
      </c>
      <c r="K23" s="6" t="e">
        <f t="shared" si="5"/>
        <v>#VALUE!</v>
      </c>
      <c r="L23" s="4"/>
      <c r="M23" s="4"/>
      <c r="N23" s="4"/>
    </row>
    <row r="24" spans="1:14">
      <c r="A24" s="4">
        <v>23</v>
      </c>
      <c r="B24" s="11"/>
      <c r="C24" s="5"/>
      <c r="D24" s="4" t="e">
        <f t="array" ref="D24">SUM(VALUE(SUBSTITUTE(_xlfn.TEXTAFTER(_xlfn.TEXTSPLIT(C24,CHAR(10)),"-",-1),"km","")))</f>
        <v>#VALUE!</v>
      </c>
      <c r="E24" s="4">
        <f>120+52+84+43</f>
        <v>299</v>
      </c>
      <c r="F24" s="6" t="e">
        <f t="shared" si="0"/>
        <v>#VALUE!</v>
      </c>
      <c r="G24" s="6" t="e">
        <f t="shared" si="1"/>
        <v>#VALUE!</v>
      </c>
      <c r="H24" s="6" t="e">
        <f t="shared" si="2"/>
        <v>#VALUE!</v>
      </c>
      <c r="I24" s="6" t="e">
        <f t="shared" si="3"/>
        <v>#VALUE!</v>
      </c>
      <c r="J24" s="6" t="e">
        <f t="shared" si="4"/>
        <v>#VALUE!</v>
      </c>
      <c r="K24" s="6" t="e">
        <f t="shared" si="5"/>
        <v>#VALUE!</v>
      </c>
      <c r="L24" s="4"/>
      <c r="M24" s="4"/>
      <c r="N24" s="4"/>
    </row>
    <row r="25" spans="1:14">
      <c r="A25" s="4">
        <v>24</v>
      </c>
      <c r="B25" s="11"/>
      <c r="C25" s="5"/>
      <c r="D25" s="4" t="e">
        <f t="array" ref="D25">SUM(VALUE(SUBSTITUTE(_xlfn.TEXTAFTER(_xlfn.TEXTSPLIT(C25,CHAR(10)),"-",-1),"km","")))</f>
        <v>#VALUE!</v>
      </c>
      <c r="E25" s="4">
        <f>120+52+84+43</f>
        <v>299</v>
      </c>
      <c r="F25" s="6" t="e">
        <f t="shared" si="0"/>
        <v>#VALUE!</v>
      </c>
      <c r="G25" s="6" t="e">
        <f t="shared" si="1"/>
        <v>#VALUE!</v>
      </c>
      <c r="H25" s="6" t="e">
        <f t="shared" si="2"/>
        <v>#VALUE!</v>
      </c>
      <c r="I25" s="6" t="e">
        <f t="shared" si="3"/>
        <v>#VALUE!</v>
      </c>
      <c r="J25" s="6" t="e">
        <f t="shared" si="4"/>
        <v>#VALUE!</v>
      </c>
      <c r="K25" s="6" t="e">
        <f t="shared" si="5"/>
        <v>#VALUE!</v>
      </c>
      <c r="L25" s="4"/>
      <c r="M25" s="4"/>
      <c r="N25" s="4"/>
    </row>
    <row r="26" spans="1:14">
      <c r="A26" s="4">
        <v>25</v>
      </c>
      <c r="B26" s="11"/>
      <c r="C26" s="5"/>
      <c r="D26" s="4" t="e">
        <f t="array" ref="D26">SUM(VALUE(SUBSTITUTE(_xlfn.TEXTAFTER(_xlfn.TEXTSPLIT(C26,CHAR(10)),"-",-1),"km","")))</f>
        <v>#VALUE!</v>
      </c>
      <c r="E26" s="4">
        <f>86+10+12+10+8</f>
        <v>126</v>
      </c>
      <c r="F26" s="6" t="e">
        <f t="shared" si="0"/>
        <v>#VALUE!</v>
      </c>
      <c r="G26" s="6" t="e">
        <f t="shared" si="1"/>
        <v>#VALUE!</v>
      </c>
      <c r="H26" s="6" t="e">
        <f t="shared" si="2"/>
        <v>#VALUE!</v>
      </c>
      <c r="I26" s="6" t="e">
        <f t="shared" si="3"/>
        <v>#VALUE!</v>
      </c>
      <c r="J26" s="6" t="e">
        <f t="shared" si="4"/>
        <v>#VALUE!</v>
      </c>
      <c r="K26" s="6" t="e">
        <f t="shared" si="5"/>
        <v>#VALUE!</v>
      </c>
      <c r="L26" s="4"/>
      <c r="M26" s="4"/>
      <c r="N26" s="4"/>
    </row>
    <row r="27" spans="1:14">
      <c r="A27" s="4">
        <v>26</v>
      </c>
      <c r="B27" s="11"/>
      <c r="C27" s="5"/>
      <c r="D27" s="4" t="e">
        <f t="array" ref="D27">SUM(VALUE(SUBSTITUTE(_xlfn.TEXTAFTER(_xlfn.TEXTSPLIT(C27,CHAR(10)),"-",-1),"km","")))</f>
        <v>#VALUE!</v>
      </c>
      <c r="E27" s="4">
        <f>86+10+12+10+8</f>
        <v>126</v>
      </c>
      <c r="F27" s="6" t="e">
        <f t="shared" si="0"/>
        <v>#VALUE!</v>
      </c>
      <c r="G27" s="6" t="e">
        <f t="shared" si="1"/>
        <v>#VALUE!</v>
      </c>
      <c r="H27" s="6" t="e">
        <f t="shared" si="2"/>
        <v>#VALUE!</v>
      </c>
      <c r="I27" s="6" t="e">
        <f t="shared" si="3"/>
        <v>#VALUE!</v>
      </c>
      <c r="J27" s="6" t="e">
        <f t="shared" si="4"/>
        <v>#VALUE!</v>
      </c>
      <c r="K27" s="6" t="e">
        <f t="shared" si="5"/>
        <v>#VALUE!</v>
      </c>
      <c r="L27" s="4"/>
      <c r="M27" s="4"/>
      <c r="N27" s="4"/>
    </row>
    <row r="28" spans="1:14">
      <c r="A28" s="4">
        <v>27</v>
      </c>
      <c r="B28" s="11"/>
      <c r="C28" s="5"/>
      <c r="D28" s="4" t="e">
        <f t="array" ref="D28">SUM(VALUE(SUBSTITUTE(_xlfn.TEXTAFTER(_xlfn.TEXTSPLIT(C28,CHAR(10)),"-",-1),"km","")))</f>
        <v>#VALUE!</v>
      </c>
      <c r="E28" s="4">
        <f>86+10+12+10+8</f>
        <v>126</v>
      </c>
      <c r="F28" s="6" t="e">
        <f t="shared" si="0"/>
        <v>#VALUE!</v>
      </c>
      <c r="G28" s="6" t="e">
        <f t="shared" si="1"/>
        <v>#VALUE!</v>
      </c>
      <c r="H28" s="6" t="e">
        <f t="shared" si="2"/>
        <v>#VALUE!</v>
      </c>
      <c r="I28" s="6" t="e">
        <f t="shared" si="3"/>
        <v>#VALUE!</v>
      </c>
      <c r="J28" s="6" t="e">
        <f t="shared" si="4"/>
        <v>#VALUE!</v>
      </c>
      <c r="K28" s="6" t="e">
        <f t="shared" si="5"/>
        <v>#VALUE!</v>
      </c>
      <c r="L28" s="4"/>
      <c r="M28" s="4"/>
      <c r="N28" s="4"/>
    </row>
    <row r="29" spans="1:14">
      <c r="A29" s="4">
        <v>28</v>
      </c>
      <c r="B29" s="11"/>
      <c r="C29" s="5"/>
      <c r="D29" s="4" t="e">
        <f t="array" ref="D29">SUM(VALUE(SUBSTITUTE(_xlfn.TEXTAFTER(_xlfn.TEXTSPLIT(C29,CHAR(10)),"-",-1),"km","")))</f>
        <v>#VALUE!</v>
      </c>
      <c r="E29" s="4">
        <f>167+33+106</f>
        <v>306</v>
      </c>
      <c r="F29" s="6" t="e">
        <f t="shared" si="0"/>
        <v>#VALUE!</v>
      </c>
      <c r="G29" s="6" t="e">
        <f t="shared" si="1"/>
        <v>#VALUE!</v>
      </c>
      <c r="H29" s="6" t="e">
        <f t="shared" si="2"/>
        <v>#VALUE!</v>
      </c>
      <c r="I29" s="6" t="e">
        <f t="shared" si="3"/>
        <v>#VALUE!</v>
      </c>
      <c r="J29" s="6" t="e">
        <f t="shared" si="4"/>
        <v>#VALUE!</v>
      </c>
      <c r="K29" s="6" t="e">
        <f t="shared" si="5"/>
        <v>#VALUE!</v>
      </c>
      <c r="L29" s="4"/>
      <c r="M29" s="4"/>
      <c r="N29" s="4"/>
    </row>
    <row r="30" spans="1:14">
      <c r="A30" s="4">
        <v>29</v>
      </c>
      <c r="B30" s="11"/>
      <c r="C30" s="5"/>
      <c r="D30" s="4" t="e">
        <f t="array" ref="D30">SUM(VALUE(SUBSTITUTE(_xlfn.TEXTAFTER(_xlfn.TEXTSPLIT(C30,CHAR(10)),"-",-1),"km","")))</f>
        <v>#VALUE!</v>
      </c>
      <c r="E30" s="4">
        <f>127+59+16+9.5</f>
        <v>211.5</v>
      </c>
      <c r="F30" s="6" t="e">
        <f t="shared" si="0"/>
        <v>#VALUE!</v>
      </c>
      <c r="G30" s="6" t="e">
        <f t="shared" si="1"/>
        <v>#VALUE!</v>
      </c>
      <c r="H30" s="6" t="e">
        <f t="shared" si="2"/>
        <v>#VALUE!</v>
      </c>
      <c r="I30" s="6" t="e">
        <f t="shared" si="3"/>
        <v>#VALUE!</v>
      </c>
      <c r="J30" s="6" t="e">
        <f t="shared" si="4"/>
        <v>#VALUE!</v>
      </c>
      <c r="K30" s="6" t="e">
        <f t="shared" si="5"/>
        <v>#VALUE!</v>
      </c>
      <c r="L30" s="4"/>
      <c r="M30" s="6"/>
      <c r="N30" s="4"/>
    </row>
    <row r="31" spans="1:14">
      <c r="A31" s="4">
        <v>30</v>
      </c>
      <c r="B31" s="11"/>
      <c r="C31" s="5"/>
      <c r="D31" s="4" t="e">
        <f t="array" ref="D31">SUM(VALUE(SUBSTITUTE(_xlfn.TEXTAFTER(_xlfn.TEXTSPLIT(C31,CHAR(10)),"-",-1),"km","")))</f>
        <v>#VALUE!</v>
      </c>
      <c r="E31" s="4">
        <f t="shared" ref="E31:E37" si="7">98+116+34+43</f>
        <v>291</v>
      </c>
      <c r="F31" s="6" t="e">
        <f t="shared" si="0"/>
        <v>#VALUE!</v>
      </c>
      <c r="G31" s="6" t="e">
        <f t="shared" si="1"/>
        <v>#VALUE!</v>
      </c>
      <c r="H31" s="6" t="e">
        <f t="shared" si="2"/>
        <v>#VALUE!</v>
      </c>
      <c r="I31" s="6" t="e">
        <f t="shared" si="3"/>
        <v>#VALUE!</v>
      </c>
      <c r="J31" s="6" t="e">
        <f t="shared" si="4"/>
        <v>#VALUE!</v>
      </c>
      <c r="K31" s="6" t="e">
        <f t="shared" si="5"/>
        <v>#VALUE!</v>
      </c>
      <c r="L31" s="4"/>
      <c r="M31" s="4"/>
      <c r="N31" s="6"/>
    </row>
    <row r="32" spans="1:14">
      <c r="A32" s="4">
        <v>31</v>
      </c>
      <c r="B32" s="11"/>
      <c r="C32" s="5"/>
      <c r="D32" s="4" t="e">
        <f t="array" ref="D32">SUM(VALUE(SUBSTITUTE(_xlfn.TEXTAFTER(_xlfn.TEXTSPLIT(C32,CHAR(10)),"-",-1),"km","")))</f>
        <v>#VALUE!</v>
      </c>
      <c r="E32" s="4">
        <f t="shared" si="7"/>
        <v>291</v>
      </c>
      <c r="F32" s="6" t="e">
        <f t="shared" si="0"/>
        <v>#VALUE!</v>
      </c>
      <c r="G32" s="6" t="e">
        <f t="shared" si="1"/>
        <v>#VALUE!</v>
      </c>
      <c r="H32" s="6" t="e">
        <f t="shared" si="2"/>
        <v>#VALUE!</v>
      </c>
      <c r="I32" s="6" t="e">
        <f t="shared" si="3"/>
        <v>#VALUE!</v>
      </c>
      <c r="J32" s="6" t="e">
        <f t="shared" si="4"/>
        <v>#VALUE!</v>
      </c>
      <c r="K32" s="6" t="e">
        <f t="shared" si="5"/>
        <v>#VALUE!</v>
      </c>
      <c r="L32" s="4"/>
      <c r="M32" s="4"/>
      <c r="N32" s="4"/>
    </row>
    <row r="33" spans="1:14">
      <c r="A33" s="4">
        <v>32</v>
      </c>
      <c r="B33" s="7"/>
      <c r="C33" s="5"/>
      <c r="D33" s="4" t="e">
        <f t="array" ref="D33">SUM(VALUE(SUBSTITUTE(_xlfn.TEXTAFTER(_xlfn.TEXTSPLIT(C33,CHAR(10)),"-",-1),"km","")))</f>
        <v>#VALUE!</v>
      </c>
      <c r="E33" s="4">
        <f t="shared" si="7"/>
        <v>291</v>
      </c>
      <c r="F33" s="6" t="e">
        <f t="shared" si="0"/>
        <v>#VALUE!</v>
      </c>
      <c r="G33" s="6" t="e">
        <f t="shared" si="1"/>
        <v>#VALUE!</v>
      </c>
      <c r="H33" s="6" t="e">
        <f t="shared" si="2"/>
        <v>#VALUE!</v>
      </c>
      <c r="I33" s="6" t="e">
        <f t="shared" si="3"/>
        <v>#VALUE!</v>
      </c>
      <c r="J33" s="6" t="e">
        <f t="shared" si="4"/>
        <v>#VALUE!</v>
      </c>
      <c r="K33" s="6" t="e">
        <f t="shared" si="5"/>
        <v>#VALUE!</v>
      </c>
      <c r="L33" s="4"/>
      <c r="M33" s="4"/>
      <c r="N33" s="4"/>
    </row>
    <row r="34" spans="1:14">
      <c r="A34" s="4">
        <v>33</v>
      </c>
      <c r="B34" s="7"/>
      <c r="C34" s="5"/>
      <c r="D34" s="4" t="e">
        <f t="array" ref="D34">SUM(VALUE(SUBSTITUTE(_xlfn.TEXTAFTER(_xlfn.TEXTSPLIT(C34,CHAR(10)),"-",-1),"km","")))</f>
        <v>#VALUE!</v>
      </c>
      <c r="E34" s="4">
        <f t="shared" si="7"/>
        <v>291</v>
      </c>
      <c r="F34" s="6" t="e">
        <f t="shared" si="0"/>
        <v>#VALUE!</v>
      </c>
      <c r="G34" s="6" t="e">
        <f t="shared" si="1"/>
        <v>#VALUE!</v>
      </c>
      <c r="H34" s="6" t="e">
        <f t="shared" si="2"/>
        <v>#VALUE!</v>
      </c>
      <c r="I34" s="6" t="e">
        <f t="shared" si="3"/>
        <v>#VALUE!</v>
      </c>
      <c r="J34" s="6" t="e">
        <f t="shared" si="4"/>
        <v>#VALUE!</v>
      </c>
      <c r="K34" s="6" t="e">
        <f t="shared" si="5"/>
        <v>#VALUE!</v>
      </c>
      <c r="L34" s="4"/>
      <c r="M34" s="4"/>
      <c r="N34" s="4"/>
    </row>
    <row r="35" spans="1:14">
      <c r="A35" s="4">
        <v>34</v>
      </c>
      <c r="B35" s="7"/>
      <c r="C35" s="5"/>
      <c r="D35" s="4" t="e">
        <f t="array" ref="D35">SUM(VALUE(SUBSTITUTE(_xlfn.TEXTAFTER(_xlfn.TEXTSPLIT(C35,CHAR(10)),"-",-1),"km","")))</f>
        <v>#VALUE!</v>
      </c>
      <c r="E35" s="4">
        <f t="shared" si="7"/>
        <v>291</v>
      </c>
      <c r="F35" s="6" t="e">
        <f t="shared" si="0"/>
        <v>#VALUE!</v>
      </c>
      <c r="G35" s="6" t="e">
        <f t="shared" si="1"/>
        <v>#VALUE!</v>
      </c>
      <c r="H35" s="6" t="e">
        <f t="shared" si="2"/>
        <v>#VALUE!</v>
      </c>
      <c r="I35" s="6" t="e">
        <f t="shared" si="3"/>
        <v>#VALUE!</v>
      </c>
      <c r="J35" s="6" t="e">
        <f t="shared" si="4"/>
        <v>#VALUE!</v>
      </c>
      <c r="K35" s="6" t="e">
        <f t="shared" si="5"/>
        <v>#VALUE!</v>
      </c>
      <c r="L35" s="4"/>
      <c r="M35" s="4"/>
      <c r="N35" s="4"/>
    </row>
    <row r="36" spans="1:14">
      <c r="A36" s="4">
        <v>35</v>
      </c>
      <c r="B36" s="7"/>
      <c r="C36" s="5"/>
      <c r="D36" s="4" t="e">
        <f t="array" ref="D36">SUM(VALUE(SUBSTITUTE(_xlfn.TEXTAFTER(_xlfn.TEXTSPLIT(C36,CHAR(10)),"-",-1),"km","")))</f>
        <v>#VALUE!</v>
      </c>
      <c r="E36" s="4">
        <f t="shared" si="7"/>
        <v>291</v>
      </c>
      <c r="F36" s="6" t="e">
        <f t="shared" si="0"/>
        <v>#VALUE!</v>
      </c>
      <c r="G36" s="6" t="e">
        <f t="shared" si="1"/>
        <v>#VALUE!</v>
      </c>
      <c r="H36" s="6" t="e">
        <f t="shared" si="2"/>
        <v>#VALUE!</v>
      </c>
      <c r="I36" s="6" t="e">
        <f t="shared" si="3"/>
        <v>#VALUE!</v>
      </c>
      <c r="J36" s="6" t="e">
        <f t="shared" si="4"/>
        <v>#VALUE!</v>
      </c>
      <c r="K36" s="6" t="e">
        <f t="shared" si="5"/>
        <v>#VALUE!</v>
      </c>
      <c r="L36" s="4"/>
      <c r="M36" s="4"/>
      <c r="N36" s="4"/>
    </row>
    <row r="37" spans="1:14">
      <c r="A37" s="4">
        <v>36</v>
      </c>
      <c r="B37" s="7"/>
      <c r="C37" s="5"/>
      <c r="D37" s="4" t="e">
        <f t="array" ref="D37">SUM(VALUE(SUBSTITUTE(_xlfn.TEXTAFTER(_xlfn.TEXTSPLIT(C37,CHAR(10)),"-",-1),"km","")))</f>
        <v>#VALUE!</v>
      </c>
      <c r="E37" s="4">
        <f t="shared" si="7"/>
        <v>291</v>
      </c>
      <c r="F37" s="6" t="e">
        <f t="shared" si="0"/>
        <v>#VALUE!</v>
      </c>
      <c r="G37" s="6" t="e">
        <f t="shared" si="1"/>
        <v>#VALUE!</v>
      </c>
      <c r="H37" s="6" t="e">
        <f t="shared" si="2"/>
        <v>#VALUE!</v>
      </c>
      <c r="I37" s="6" t="e">
        <f t="shared" si="3"/>
        <v>#VALUE!</v>
      </c>
      <c r="J37" s="6" t="e">
        <f t="shared" si="4"/>
        <v>#VALUE!</v>
      </c>
      <c r="K37" s="6" t="e">
        <f t="shared" si="5"/>
        <v>#VALUE!</v>
      </c>
      <c r="L37" s="4"/>
      <c r="M37" s="4"/>
      <c r="N37" s="4"/>
    </row>
    <row r="38" spans="1:14">
      <c r="A38" s="4">
        <v>37</v>
      </c>
      <c r="B38" s="7"/>
      <c r="C38" s="5"/>
      <c r="D38" s="4" t="e">
        <f t="array" ref="D38">SUM(VALUE(SUBSTITUTE(_xlfn.TEXTAFTER(_xlfn.TEXTSPLIT(C38,CHAR(10)),"-",-1),"km","")))</f>
        <v>#VALUE!</v>
      </c>
      <c r="E38" s="4">
        <f>98+48+52</f>
        <v>198</v>
      </c>
      <c r="F38" s="6" t="e">
        <f t="shared" si="0"/>
        <v>#VALUE!</v>
      </c>
      <c r="G38" s="6" t="e">
        <f t="shared" si="1"/>
        <v>#VALUE!</v>
      </c>
      <c r="H38" s="6" t="e">
        <f t="shared" si="2"/>
        <v>#VALUE!</v>
      </c>
      <c r="I38" s="6" t="e">
        <f t="shared" si="3"/>
        <v>#VALUE!</v>
      </c>
      <c r="J38" s="6" t="e">
        <f t="shared" si="4"/>
        <v>#VALUE!</v>
      </c>
      <c r="K38" s="6" t="e">
        <f t="shared" si="5"/>
        <v>#VALUE!</v>
      </c>
      <c r="L38" s="4"/>
      <c r="M38" s="4"/>
      <c r="N38" s="4"/>
    </row>
    <row r="39" spans="1:14">
      <c r="A39" s="4">
        <v>38</v>
      </c>
      <c r="B39" s="7"/>
      <c r="C39" s="5"/>
      <c r="D39" s="4" t="e">
        <f t="array" ref="D39">SUM(VALUE(SUBSTITUTE(_xlfn.TEXTAFTER(_xlfn.TEXTSPLIT(C39,CHAR(10)),"-",-1),"km","")))</f>
        <v>#VALUE!</v>
      </c>
      <c r="E39" s="4">
        <f>98+133+16</f>
        <v>247</v>
      </c>
      <c r="F39" s="6" t="e">
        <f t="shared" si="0"/>
        <v>#VALUE!</v>
      </c>
      <c r="G39" s="6" t="e">
        <f t="shared" si="1"/>
        <v>#VALUE!</v>
      </c>
      <c r="H39" s="6" t="e">
        <f t="shared" si="2"/>
        <v>#VALUE!</v>
      </c>
      <c r="I39" s="6" t="e">
        <f t="shared" si="3"/>
        <v>#VALUE!</v>
      </c>
      <c r="J39" s="6" t="e">
        <f t="shared" si="4"/>
        <v>#VALUE!</v>
      </c>
      <c r="K39" s="6" t="e">
        <f t="shared" si="5"/>
        <v>#VALUE!</v>
      </c>
      <c r="L39" s="4"/>
      <c r="M39" s="4"/>
      <c r="N39" s="4"/>
    </row>
    <row r="40" spans="1:14">
      <c r="A40" s="4">
        <v>39</v>
      </c>
      <c r="B40" s="7"/>
      <c r="C40" s="5"/>
      <c r="D40" s="4" t="e">
        <f t="array" ref="D40">SUM(VALUE(SUBSTITUTE(_xlfn.TEXTAFTER(_xlfn.TEXTSPLIT(C40,CHAR(10)),"-",-1),"km","")))</f>
        <v>#VALUE!</v>
      </c>
      <c r="E40" s="4">
        <f>167+43+59+47</f>
        <v>316</v>
      </c>
      <c r="F40" s="6" t="e">
        <f t="shared" si="0"/>
        <v>#VALUE!</v>
      </c>
      <c r="G40" s="6" t="e">
        <f t="shared" si="1"/>
        <v>#VALUE!</v>
      </c>
      <c r="H40" s="6" t="e">
        <f t="shared" si="2"/>
        <v>#VALUE!</v>
      </c>
      <c r="I40" s="6" t="e">
        <f t="shared" si="3"/>
        <v>#VALUE!</v>
      </c>
      <c r="J40" s="6" t="e">
        <f t="shared" si="4"/>
        <v>#VALUE!</v>
      </c>
      <c r="K40" s="6" t="e">
        <f t="shared" si="5"/>
        <v>#VALUE!</v>
      </c>
      <c r="L40" s="4"/>
      <c r="M40" s="4"/>
      <c r="N40" s="4"/>
    </row>
    <row r="41" spans="1:14">
      <c r="A41" s="4">
        <v>40</v>
      </c>
      <c r="B41" s="7"/>
      <c r="C41" s="5"/>
      <c r="D41" s="4" t="e">
        <f t="array" ref="D41">SUM(VALUE(SUBSTITUTE(_xlfn.TEXTAFTER(_xlfn.TEXTSPLIT(C41,CHAR(10)),"-",-1),"km","")))</f>
        <v>#VALUE!</v>
      </c>
      <c r="E41" s="4">
        <f>171+34+43</f>
        <v>248</v>
      </c>
      <c r="F41" s="6" t="e">
        <f t="shared" si="0"/>
        <v>#VALUE!</v>
      </c>
      <c r="G41" s="6" t="e">
        <f t="shared" si="1"/>
        <v>#VALUE!</v>
      </c>
      <c r="H41" s="6" t="e">
        <f t="shared" si="2"/>
        <v>#VALUE!</v>
      </c>
      <c r="I41" s="6" t="e">
        <f t="shared" si="3"/>
        <v>#VALUE!</v>
      </c>
      <c r="J41" s="6" t="e">
        <f t="shared" si="4"/>
        <v>#VALUE!</v>
      </c>
      <c r="K41" s="6" t="e">
        <f t="shared" si="5"/>
        <v>#VALUE!</v>
      </c>
      <c r="L41" s="4"/>
      <c r="M41" s="4"/>
      <c r="N41" s="4"/>
    </row>
    <row r="42" spans="1:14">
      <c r="A42" s="4">
        <v>41</v>
      </c>
      <c r="B42" s="7"/>
      <c r="C42" s="5"/>
      <c r="D42" s="4" t="e">
        <f t="array" ref="D42">SUM(VALUE(SUBSTITUTE(_xlfn.TEXTAFTER(_xlfn.TEXTSPLIT(C42,CHAR(10)),"-",-1),"km","")))</f>
        <v>#VALUE!</v>
      </c>
      <c r="E42" s="4">
        <f>171+34+43</f>
        <v>248</v>
      </c>
      <c r="F42" s="6" t="e">
        <f t="shared" si="0"/>
        <v>#VALUE!</v>
      </c>
      <c r="G42" s="6" t="e">
        <f t="shared" si="1"/>
        <v>#VALUE!</v>
      </c>
      <c r="H42" s="6" t="e">
        <f t="shared" si="2"/>
        <v>#VALUE!</v>
      </c>
      <c r="I42" s="6" t="e">
        <f t="shared" si="3"/>
        <v>#VALUE!</v>
      </c>
      <c r="J42" s="6" t="e">
        <f t="shared" si="4"/>
        <v>#VALUE!</v>
      </c>
      <c r="K42" s="6" t="e">
        <f t="shared" si="5"/>
        <v>#VALUE!</v>
      </c>
      <c r="L42" s="4"/>
      <c r="M42" s="4"/>
      <c r="N42" s="4"/>
    </row>
    <row r="43" spans="1:14">
      <c r="A43" s="4">
        <v>42</v>
      </c>
      <c r="B43" s="7"/>
      <c r="C43" s="5"/>
      <c r="D43" s="4" t="e">
        <f t="array" ref="D43">SUM(VALUE(SUBSTITUTE(_xlfn.TEXTAFTER(_xlfn.TEXTSPLIT(C43,CHAR(10)),"-",-1),"km","")))</f>
        <v>#VALUE!</v>
      </c>
      <c r="E43" s="4">
        <f>171+34+43</f>
        <v>248</v>
      </c>
      <c r="F43" s="6" t="e">
        <f t="shared" si="0"/>
        <v>#VALUE!</v>
      </c>
      <c r="G43" s="6" t="e">
        <f t="shared" si="1"/>
        <v>#VALUE!</v>
      </c>
      <c r="H43" s="6" t="e">
        <f t="shared" si="2"/>
        <v>#VALUE!</v>
      </c>
      <c r="I43" s="6" t="e">
        <f t="shared" si="3"/>
        <v>#VALUE!</v>
      </c>
      <c r="J43" s="6" t="e">
        <f t="shared" si="4"/>
        <v>#VALUE!</v>
      </c>
      <c r="K43" s="6" t="e">
        <f t="shared" si="5"/>
        <v>#VALUE!</v>
      </c>
      <c r="L43" s="4"/>
      <c r="M43" s="4"/>
      <c r="N43" s="4"/>
    </row>
    <row r="44" spans="1:14">
      <c r="A44" s="4">
        <v>43</v>
      </c>
      <c r="B44" s="7"/>
      <c r="C44" s="5"/>
      <c r="D44" s="4" t="e">
        <f t="array" ref="D44">SUM(VALUE(SUBSTITUTE(_xlfn.TEXTAFTER(_xlfn.TEXTSPLIT(C44,CHAR(10)),"-",-1),"km","")))</f>
        <v>#VALUE!</v>
      </c>
      <c r="E44" s="4">
        <f>86+10+12+10</f>
        <v>118</v>
      </c>
      <c r="F44" s="6" t="e">
        <f t="shared" si="0"/>
        <v>#VALUE!</v>
      </c>
      <c r="G44" s="6" t="e">
        <f t="shared" si="1"/>
        <v>#VALUE!</v>
      </c>
      <c r="H44" s="6" t="e">
        <f t="shared" si="2"/>
        <v>#VALUE!</v>
      </c>
      <c r="I44" s="6" t="e">
        <f t="shared" si="3"/>
        <v>#VALUE!</v>
      </c>
      <c r="J44" s="6" t="e">
        <f t="shared" si="4"/>
        <v>#VALUE!</v>
      </c>
      <c r="K44" s="6" t="e">
        <f t="shared" si="5"/>
        <v>#VALUE!</v>
      </c>
      <c r="L44" s="4"/>
      <c r="M44" s="4"/>
      <c r="N44" s="4"/>
    </row>
    <row r="45" spans="1:14">
      <c r="A45" s="4">
        <v>44</v>
      </c>
      <c r="B45" s="7"/>
      <c r="C45" s="5"/>
      <c r="D45" s="4" t="e">
        <f t="array" ref="D45">SUM(VALUE(SUBSTITUTE(_xlfn.TEXTAFTER(_xlfn.TEXTSPLIT(C45,CHAR(10)),"-",-1),"km","")))</f>
        <v>#VALUE!</v>
      </c>
      <c r="E45" s="4">
        <f>127+59+33+42+50</f>
        <v>311</v>
      </c>
      <c r="F45" s="6" t="e">
        <f t="shared" si="0"/>
        <v>#VALUE!</v>
      </c>
      <c r="G45" s="6" t="e">
        <f t="shared" si="1"/>
        <v>#VALUE!</v>
      </c>
      <c r="H45" s="6" t="e">
        <f t="shared" si="2"/>
        <v>#VALUE!</v>
      </c>
      <c r="I45" s="6" t="e">
        <f t="shared" si="3"/>
        <v>#VALUE!</v>
      </c>
      <c r="J45" s="6" t="e">
        <f t="shared" si="4"/>
        <v>#VALUE!</v>
      </c>
      <c r="K45" s="6" t="e">
        <f t="shared" si="5"/>
        <v>#VALUE!</v>
      </c>
      <c r="L45" s="4"/>
      <c r="M45" s="4"/>
      <c r="N45" s="4"/>
    </row>
    <row r="46" spans="1:14">
      <c r="A46" s="4">
        <v>45</v>
      </c>
      <c r="B46" s="7"/>
      <c r="C46" s="5"/>
      <c r="D46" s="4" t="e">
        <f t="array" ref="D46">SUM(VALUE(SUBSTITUTE(_xlfn.TEXTAFTER(_xlfn.TEXTSPLIT(C46,CHAR(10)),"-",-1),"km","")))</f>
        <v>#VALUE!</v>
      </c>
      <c r="E46" s="4">
        <f>127+59+33+42+50</f>
        <v>311</v>
      </c>
      <c r="F46" s="6" t="e">
        <f t="shared" si="0"/>
        <v>#VALUE!</v>
      </c>
      <c r="G46" s="6" t="e">
        <f t="shared" si="1"/>
        <v>#VALUE!</v>
      </c>
      <c r="H46" s="6" t="e">
        <f t="shared" si="2"/>
        <v>#VALUE!</v>
      </c>
      <c r="I46" s="6" t="e">
        <f t="shared" si="3"/>
        <v>#VALUE!</v>
      </c>
      <c r="J46" s="6" t="e">
        <f t="shared" si="4"/>
        <v>#VALUE!</v>
      </c>
      <c r="K46" s="6" t="e">
        <f t="shared" si="5"/>
        <v>#VALUE!</v>
      </c>
      <c r="L46" s="4"/>
      <c r="M46" s="4"/>
      <c r="N46" s="4"/>
    </row>
    <row r="47" spans="1:14">
      <c r="A47" s="4">
        <v>46</v>
      </c>
      <c r="B47" s="7"/>
      <c r="C47" s="5"/>
      <c r="D47" s="4" t="e">
        <f t="array" ref="D47">SUM(VALUE(SUBSTITUTE(_xlfn.TEXTAFTER(_xlfn.TEXTSPLIT(C47,CHAR(10)),"-",-1),"km","")))</f>
        <v>#VALUE!</v>
      </c>
      <c r="E47" s="4">
        <f>98+136+9.5+59+47</f>
        <v>349.5</v>
      </c>
      <c r="F47" s="6" t="e">
        <f t="shared" si="0"/>
        <v>#VALUE!</v>
      </c>
      <c r="G47" s="6" t="e">
        <f t="shared" si="1"/>
        <v>#VALUE!</v>
      </c>
      <c r="H47" s="6" t="e">
        <f t="shared" si="2"/>
        <v>#VALUE!</v>
      </c>
      <c r="I47" s="6" t="e">
        <f t="shared" si="3"/>
        <v>#VALUE!</v>
      </c>
      <c r="J47" s="6" t="e">
        <f t="shared" si="4"/>
        <v>#VALUE!</v>
      </c>
      <c r="K47" s="6" t="e">
        <f t="shared" si="5"/>
        <v>#VALUE!</v>
      </c>
      <c r="L47" s="4"/>
      <c r="M47" s="4"/>
      <c r="N47" s="4"/>
    </row>
    <row r="48" spans="1:14">
      <c r="A48" s="4">
        <v>47</v>
      </c>
      <c r="B48" s="7"/>
      <c r="C48" s="5"/>
      <c r="D48" s="4" t="e">
        <f t="array" ref="D48">SUM(VALUE(SUBSTITUTE(_xlfn.TEXTAFTER(_xlfn.TEXTSPLIT(C48,CHAR(10)),"-",-1),"km","")))</f>
        <v>#VALUE!</v>
      </c>
      <c r="E48" s="4">
        <f>98+136+9.5+59+47</f>
        <v>349.5</v>
      </c>
      <c r="F48" s="6" t="e">
        <f t="shared" si="0"/>
        <v>#VALUE!</v>
      </c>
      <c r="G48" s="6" t="e">
        <f t="shared" si="1"/>
        <v>#VALUE!</v>
      </c>
      <c r="H48" s="6" t="e">
        <f t="shared" si="2"/>
        <v>#VALUE!</v>
      </c>
      <c r="I48" s="6" t="e">
        <f t="shared" si="3"/>
        <v>#VALUE!</v>
      </c>
      <c r="J48" s="6" t="e">
        <f t="shared" si="4"/>
        <v>#VALUE!</v>
      </c>
      <c r="K48" s="6" t="e">
        <f t="shared" si="5"/>
        <v>#VALUE!</v>
      </c>
      <c r="L48" s="4"/>
      <c r="M48" s="4"/>
      <c r="N48" s="4"/>
    </row>
    <row r="49" spans="1:14">
      <c r="A49" s="4">
        <v>48</v>
      </c>
      <c r="B49" s="7"/>
      <c r="C49" s="5"/>
      <c r="D49" s="4" t="e">
        <f t="array" ref="D49">SUM(VALUE(SUBSTITUTE(_xlfn.TEXTAFTER(_xlfn.TEXTSPLIT(C49,CHAR(10)),"-",-1),"km","")))</f>
        <v>#VALUE!</v>
      </c>
      <c r="E49" s="4">
        <f>35+67+10+12+10+8</f>
        <v>142</v>
      </c>
      <c r="F49" s="6" t="e">
        <f t="shared" si="0"/>
        <v>#VALUE!</v>
      </c>
      <c r="G49" s="6" t="e">
        <f t="shared" si="1"/>
        <v>#VALUE!</v>
      </c>
      <c r="H49" s="6" t="e">
        <f t="shared" si="2"/>
        <v>#VALUE!</v>
      </c>
      <c r="I49" s="6" t="e">
        <f t="shared" si="3"/>
        <v>#VALUE!</v>
      </c>
      <c r="J49" s="6" t="e">
        <f t="shared" si="4"/>
        <v>#VALUE!</v>
      </c>
      <c r="K49" s="6" t="e">
        <f t="shared" si="5"/>
        <v>#VALUE!</v>
      </c>
      <c r="L49" s="4"/>
      <c r="M49" s="4"/>
      <c r="N49" s="4"/>
    </row>
    <row r="50" spans="1:14">
      <c r="A50" s="4">
        <v>49</v>
      </c>
      <c r="B50" s="7"/>
      <c r="C50" s="5"/>
      <c r="D50" s="4" t="e">
        <f t="array" ref="D50">SUM(VALUE(SUBSTITUTE(_xlfn.TEXTAFTER(_xlfn.TEXTSPLIT(C50,CHAR(10)),"-",-1),"km","")))</f>
        <v>#VALUE!</v>
      </c>
      <c r="E50" s="4">
        <f>35+67+10+12+10+8</f>
        <v>142</v>
      </c>
      <c r="F50" s="6" t="e">
        <f t="shared" si="0"/>
        <v>#VALUE!</v>
      </c>
      <c r="G50" s="6" t="e">
        <f t="shared" si="1"/>
        <v>#VALUE!</v>
      </c>
      <c r="H50" s="6" t="e">
        <f t="shared" si="2"/>
        <v>#VALUE!</v>
      </c>
      <c r="I50" s="6" t="e">
        <f t="shared" si="3"/>
        <v>#VALUE!</v>
      </c>
      <c r="J50" s="6" t="e">
        <f t="shared" si="4"/>
        <v>#VALUE!</v>
      </c>
      <c r="K50" s="6" t="e">
        <f t="shared" si="5"/>
        <v>#VALUE!</v>
      </c>
      <c r="L50" s="4"/>
      <c r="M50" s="4"/>
      <c r="N50" s="4"/>
    </row>
    <row r="51" spans="1:14">
      <c r="A51" s="4">
        <v>50</v>
      </c>
      <c r="B51" s="7"/>
      <c r="C51" s="5"/>
      <c r="D51" s="4" t="e">
        <f t="array" ref="D51">SUM(VALUE(SUBSTITUTE(_xlfn.TEXTAFTER(_xlfn.TEXTSPLIT(C51,CHAR(10)),"-",-1),"km","")))</f>
        <v>#VALUE!</v>
      </c>
      <c r="E51" s="4">
        <f>35+67+10+12+10+8</f>
        <v>142</v>
      </c>
      <c r="F51" s="6" t="e">
        <f t="shared" si="0"/>
        <v>#VALUE!</v>
      </c>
      <c r="G51" s="6" t="e">
        <f t="shared" si="1"/>
        <v>#VALUE!</v>
      </c>
      <c r="H51" s="6" t="e">
        <f t="shared" si="2"/>
        <v>#VALUE!</v>
      </c>
      <c r="I51" s="6" t="e">
        <f t="shared" si="3"/>
        <v>#VALUE!</v>
      </c>
      <c r="J51" s="6" t="e">
        <f t="shared" si="4"/>
        <v>#VALUE!</v>
      </c>
      <c r="K51" s="6" t="e">
        <f t="shared" si="5"/>
        <v>#VALUE!</v>
      </c>
      <c r="L51" s="4"/>
      <c r="M51" s="4"/>
      <c r="N51" s="4"/>
    </row>
    <row r="52" spans="1:14">
      <c r="A52" s="4">
        <v>51</v>
      </c>
      <c r="B52" s="7"/>
      <c r="C52" s="5"/>
      <c r="D52" s="4" t="e">
        <f t="array" ref="D52">SUM(VALUE(SUBSTITUTE(_xlfn.TEXTAFTER(_xlfn.TEXTSPLIT(C52,CHAR(10)),"-",-1),"km","")))</f>
        <v>#VALUE!</v>
      </c>
      <c r="E52" s="4">
        <f>180+28+33+42+50</f>
        <v>333</v>
      </c>
      <c r="F52" s="6" t="e">
        <f t="shared" si="0"/>
        <v>#VALUE!</v>
      </c>
      <c r="G52" s="6" t="e">
        <f t="shared" si="1"/>
        <v>#VALUE!</v>
      </c>
      <c r="H52" s="6" t="e">
        <f t="shared" si="2"/>
        <v>#VALUE!</v>
      </c>
      <c r="I52" s="6" t="e">
        <f t="shared" si="3"/>
        <v>#VALUE!</v>
      </c>
      <c r="J52" s="6" t="e">
        <f t="shared" si="4"/>
        <v>#VALUE!</v>
      </c>
      <c r="K52" s="6" t="e">
        <f t="shared" si="5"/>
        <v>#VALUE!</v>
      </c>
      <c r="L52" s="4"/>
      <c r="M52" s="4"/>
      <c r="N52" s="4"/>
    </row>
    <row r="53" spans="1:14">
      <c r="A53" s="4">
        <v>52</v>
      </c>
      <c r="B53" s="12"/>
      <c r="C53" s="5"/>
      <c r="D53" s="4" t="e">
        <f t="array" ref="D53">SUM(VALUE(SUBSTITUTE(_xlfn.TEXTAFTER(_xlfn.TEXTSPLIT(C53,CHAR(10)),"-",-1),"km","")))</f>
        <v>#VALUE!</v>
      </c>
      <c r="E53" s="4">
        <f>98+48+95+9.5+59+47</f>
        <v>356.5</v>
      </c>
      <c r="F53" s="6" t="e">
        <f t="shared" si="0"/>
        <v>#VALUE!</v>
      </c>
      <c r="G53" s="6" t="e">
        <f t="shared" si="1"/>
        <v>#VALUE!</v>
      </c>
      <c r="H53" s="6" t="e">
        <f t="shared" si="2"/>
        <v>#VALUE!</v>
      </c>
      <c r="I53" s="6" t="e">
        <f t="shared" si="3"/>
        <v>#VALUE!</v>
      </c>
      <c r="J53" s="6" t="e">
        <f t="shared" si="4"/>
        <v>#VALUE!</v>
      </c>
      <c r="K53" s="6" t="e">
        <f t="shared" si="5"/>
        <v>#VALUE!</v>
      </c>
      <c r="L53" s="4"/>
      <c r="M53" s="4"/>
      <c r="N53" s="4"/>
    </row>
    <row r="54" spans="1:14">
      <c r="A54" s="4">
        <v>53</v>
      </c>
      <c r="B54" s="12"/>
      <c r="C54" s="5"/>
      <c r="D54" s="4" t="e">
        <f t="array" ref="D54">SUM(VALUE(SUBSTITUTE(_xlfn.TEXTAFTER(_xlfn.TEXTSPLIT(C54,CHAR(10)),"-",-1),"km","")))</f>
        <v>#VALUE!</v>
      </c>
      <c r="E54" s="4">
        <f>98+48+95+9.5+59+47</f>
        <v>356.5</v>
      </c>
      <c r="F54" s="6" t="e">
        <f t="shared" si="0"/>
        <v>#VALUE!</v>
      </c>
      <c r="G54" s="6" t="e">
        <f t="shared" si="1"/>
        <v>#VALUE!</v>
      </c>
      <c r="H54" s="6" t="e">
        <f t="shared" si="2"/>
        <v>#VALUE!</v>
      </c>
      <c r="I54" s="6" t="e">
        <f t="shared" si="3"/>
        <v>#VALUE!</v>
      </c>
      <c r="J54" s="6" t="e">
        <f t="shared" si="4"/>
        <v>#VALUE!</v>
      </c>
      <c r="K54" s="6" t="e">
        <f t="shared" si="5"/>
        <v>#VALUE!</v>
      </c>
      <c r="L54" s="4"/>
      <c r="M54" s="4"/>
      <c r="N54" s="4"/>
    </row>
    <row r="55" spans="1:14">
      <c r="A55" s="4">
        <v>54</v>
      </c>
      <c r="B55" s="12"/>
      <c r="C55" s="5"/>
      <c r="D55" s="4" t="e">
        <f t="array" ref="D55">SUM(VALUE(SUBSTITUTE(_xlfn.TEXTAFTER(_xlfn.TEXTSPLIT(C55,CHAR(10)),"-",-1),"km","")))</f>
        <v>#VALUE!</v>
      </c>
      <c r="E55" s="4">
        <f>98+48+95+9.5+59+47</f>
        <v>356.5</v>
      </c>
      <c r="F55" s="6" t="e">
        <f t="shared" si="0"/>
        <v>#VALUE!</v>
      </c>
      <c r="G55" s="6" t="e">
        <f t="shared" si="1"/>
        <v>#VALUE!</v>
      </c>
      <c r="H55" s="6" t="e">
        <f t="shared" si="2"/>
        <v>#VALUE!</v>
      </c>
      <c r="I55" s="6" t="e">
        <f t="shared" si="3"/>
        <v>#VALUE!</v>
      </c>
      <c r="J55" s="6" t="e">
        <f t="shared" si="4"/>
        <v>#VALUE!</v>
      </c>
      <c r="K55" s="6" t="e">
        <f t="shared" si="5"/>
        <v>#VALUE!</v>
      </c>
      <c r="L55" s="4"/>
      <c r="M55" s="4"/>
      <c r="N55" s="4"/>
    </row>
    <row r="56" spans="1:14">
      <c r="A56" s="4">
        <v>55</v>
      </c>
      <c r="B56" s="12"/>
      <c r="C56" s="5"/>
      <c r="D56" s="4" t="e">
        <f t="array" ref="D56">SUM(VALUE(SUBSTITUTE(_xlfn.TEXTAFTER(_xlfn.TEXTSPLIT(C56,CHAR(10)),"-",-1),"km","")))</f>
        <v>#VALUE!</v>
      </c>
      <c r="E56" s="4">
        <f>13+83+10+12+10</f>
        <v>128</v>
      </c>
      <c r="F56" s="6" t="e">
        <f t="shared" si="0"/>
        <v>#VALUE!</v>
      </c>
      <c r="G56" s="6" t="e">
        <f t="shared" si="1"/>
        <v>#VALUE!</v>
      </c>
      <c r="H56" s="6" t="e">
        <f t="shared" si="2"/>
        <v>#VALUE!</v>
      </c>
      <c r="I56" s="6" t="e">
        <f t="shared" si="3"/>
        <v>#VALUE!</v>
      </c>
      <c r="J56" s="6" t="e">
        <f t="shared" si="4"/>
        <v>#VALUE!</v>
      </c>
      <c r="K56" s="6" t="e">
        <f t="shared" si="5"/>
        <v>#VALUE!</v>
      </c>
      <c r="L56" s="4"/>
      <c r="M56" s="4"/>
      <c r="N56" s="4"/>
    </row>
    <row r="57" spans="1:14">
      <c r="A57" s="4">
        <v>56</v>
      </c>
      <c r="B57" s="12"/>
      <c r="C57" s="5"/>
      <c r="D57" s="4" t="e">
        <f t="array" ref="D57">SUM(VALUE(SUBSTITUTE(_xlfn.TEXTAFTER(_xlfn.TEXTSPLIT(C57,CHAR(10)),"-",-1),"km","")))</f>
        <v>#VALUE!</v>
      </c>
      <c r="E57" s="4">
        <f>13+83+10+12+10</f>
        <v>128</v>
      </c>
      <c r="F57" s="6" t="e">
        <f t="shared" si="0"/>
        <v>#VALUE!</v>
      </c>
      <c r="G57" s="6" t="e">
        <f t="shared" si="1"/>
        <v>#VALUE!</v>
      </c>
      <c r="H57" s="6" t="e">
        <f t="shared" si="2"/>
        <v>#VALUE!</v>
      </c>
      <c r="I57" s="6" t="e">
        <f t="shared" si="3"/>
        <v>#VALUE!</v>
      </c>
      <c r="J57" s="6" t="e">
        <f t="shared" si="4"/>
        <v>#VALUE!</v>
      </c>
      <c r="K57" s="6" t="e">
        <f t="shared" si="5"/>
        <v>#VALUE!</v>
      </c>
      <c r="L57" s="4"/>
      <c r="M57" s="4"/>
      <c r="N57" s="4"/>
    </row>
    <row r="58" spans="1:14">
      <c r="A58" s="4">
        <v>57</v>
      </c>
      <c r="B58" s="12"/>
      <c r="C58" s="5"/>
      <c r="D58" s="4" t="e">
        <f t="array" ref="D58">SUM(VALUE(SUBSTITUTE(_xlfn.TEXTAFTER(_xlfn.TEXTSPLIT(C58,CHAR(10)),"-",-1),"km","")))</f>
        <v>#VALUE!</v>
      </c>
      <c r="E58" s="4">
        <f>13+83+10+12+10</f>
        <v>128</v>
      </c>
      <c r="F58" s="6" t="e">
        <f t="shared" si="0"/>
        <v>#VALUE!</v>
      </c>
      <c r="G58" s="6" t="e">
        <f t="shared" si="1"/>
        <v>#VALUE!</v>
      </c>
      <c r="H58" s="6" t="e">
        <f t="shared" si="2"/>
        <v>#VALUE!</v>
      </c>
      <c r="I58" s="6" t="e">
        <f t="shared" si="3"/>
        <v>#VALUE!</v>
      </c>
      <c r="J58" s="6" t="e">
        <f t="shared" si="4"/>
        <v>#VALUE!</v>
      </c>
      <c r="K58" s="6" t="e">
        <f t="shared" si="5"/>
        <v>#VALUE!</v>
      </c>
      <c r="L58" s="4"/>
      <c r="M58" s="4"/>
      <c r="N58" s="4"/>
    </row>
    <row r="59" spans="1:14">
      <c r="A59" s="4">
        <v>58</v>
      </c>
      <c r="B59" s="12"/>
      <c r="C59" s="5"/>
      <c r="D59" s="4" t="e">
        <f t="array" ref="D59">SUM(VALUE(SUBSTITUTE(_xlfn.TEXTAFTER(_xlfn.TEXTSPLIT(C59,CHAR(10)),"-",-1),"km","")))</f>
        <v>#VALUE!</v>
      </c>
      <c r="E59" s="4">
        <f>13+83+10+12+10</f>
        <v>128</v>
      </c>
      <c r="F59" s="6" t="e">
        <f t="shared" si="0"/>
        <v>#VALUE!</v>
      </c>
      <c r="G59" s="6" t="e">
        <f t="shared" si="1"/>
        <v>#VALUE!</v>
      </c>
      <c r="H59" s="6" t="e">
        <f t="shared" si="2"/>
        <v>#VALUE!</v>
      </c>
      <c r="I59" s="6" t="e">
        <f t="shared" si="3"/>
        <v>#VALUE!</v>
      </c>
      <c r="J59" s="6" t="e">
        <f t="shared" si="4"/>
        <v>#VALUE!</v>
      </c>
      <c r="K59" s="6" t="e">
        <f t="shared" si="5"/>
        <v>#VALUE!</v>
      </c>
      <c r="L59" s="4"/>
      <c r="M59" s="4"/>
      <c r="N59" s="4"/>
    </row>
    <row r="60" spans="1:14">
      <c r="A60" s="4">
        <v>59</v>
      </c>
      <c r="B60" s="12"/>
      <c r="C60" s="5"/>
      <c r="D60" s="4" t="e">
        <f t="array" ref="D60">SUM(VALUE(SUBSTITUTE(_xlfn.TEXTAFTER(_xlfn.TEXTSPLIT(C60,CHAR(10)),"-",-1),"km","")))</f>
        <v>#VALUE!</v>
      </c>
      <c r="E60" s="13">
        <f>171+81+42+50</f>
        <v>344</v>
      </c>
      <c r="F60" s="6" t="e">
        <f t="shared" si="0"/>
        <v>#VALUE!</v>
      </c>
      <c r="G60" s="6" t="e">
        <f t="shared" si="1"/>
        <v>#VALUE!</v>
      </c>
      <c r="H60" s="6" t="e">
        <f t="shared" si="2"/>
        <v>#VALUE!</v>
      </c>
      <c r="I60" s="6" t="e">
        <f t="shared" si="3"/>
        <v>#VALUE!</v>
      </c>
      <c r="J60" s="6" t="e">
        <f t="shared" si="4"/>
        <v>#VALUE!</v>
      </c>
      <c r="K60" s="6" t="e">
        <f t="shared" si="5"/>
        <v>#VALUE!</v>
      </c>
      <c r="L60" s="4"/>
      <c r="M60" s="4"/>
      <c r="N60" s="4"/>
    </row>
    <row r="61" spans="1:14">
      <c r="A61" s="4">
        <v>60</v>
      </c>
      <c r="B61" s="12"/>
      <c r="C61" s="14"/>
      <c r="D61" s="4" t="e">
        <f t="array" ref="D61">SUM(VALUE(SUBSTITUTE(_xlfn.TEXTAFTER(_xlfn.TEXTSPLIT(C61,CHAR(10)),"-",-1),"km","")))</f>
        <v>#VALUE!</v>
      </c>
      <c r="E61" s="4">
        <f>180+27+59+47</f>
        <v>313</v>
      </c>
      <c r="F61" s="6" t="e">
        <f t="shared" si="0"/>
        <v>#VALUE!</v>
      </c>
      <c r="G61" s="6" t="e">
        <f t="shared" si="1"/>
        <v>#VALUE!</v>
      </c>
      <c r="H61" s="6" t="e">
        <f t="shared" si="2"/>
        <v>#VALUE!</v>
      </c>
      <c r="I61" s="6" t="e">
        <f t="shared" si="3"/>
        <v>#VALUE!</v>
      </c>
      <c r="J61" s="6" t="e">
        <f t="shared" si="4"/>
        <v>#VALUE!</v>
      </c>
      <c r="K61" s="6" t="e">
        <f t="shared" si="5"/>
        <v>#VALUE!</v>
      </c>
      <c r="L61" s="4"/>
      <c r="M61" s="4"/>
      <c r="N61" s="4"/>
    </row>
    <row r="62" spans="1:14">
      <c r="A62" s="4">
        <v>61</v>
      </c>
      <c r="B62" s="12"/>
      <c r="C62" s="5"/>
      <c r="D62" s="4" t="e">
        <f t="array" ref="D62">SUM(VALUE(SUBSTITUTE(_xlfn.TEXTAFTER(_xlfn.TEXTSPLIT(C62,CHAR(10)),"-",-1),"km","")))</f>
        <v>#VALUE!</v>
      </c>
      <c r="E62" s="4">
        <f>190+43</f>
        <v>233</v>
      </c>
      <c r="F62" s="6" t="e">
        <f t="shared" si="0"/>
        <v>#VALUE!</v>
      </c>
      <c r="G62" s="6" t="e">
        <f t="shared" si="1"/>
        <v>#VALUE!</v>
      </c>
      <c r="H62" s="6" t="e">
        <f t="shared" si="2"/>
        <v>#VALUE!</v>
      </c>
      <c r="I62" s="6" t="e">
        <f t="shared" si="3"/>
        <v>#VALUE!</v>
      </c>
      <c r="J62" s="6" t="e">
        <f t="shared" si="4"/>
        <v>#VALUE!</v>
      </c>
      <c r="K62" s="6" t="e">
        <f t="shared" si="5"/>
        <v>#VALUE!</v>
      </c>
      <c r="L62" s="4"/>
      <c r="M62" s="4"/>
      <c r="N62" s="4"/>
    </row>
    <row r="63" spans="1:14">
      <c r="A63" s="4">
        <v>62</v>
      </c>
      <c r="B63" s="12"/>
      <c r="C63" s="5"/>
      <c r="D63" s="4" t="e">
        <f t="array" ref="D63">SUM(VALUE(SUBSTITUTE(_xlfn.TEXTAFTER(_xlfn.TEXTSPLIT(C63,CHAR(10)),"-",-1),"km","")))</f>
        <v>#VALUE!</v>
      </c>
      <c r="E63" s="4">
        <f>98+48</f>
        <v>146</v>
      </c>
      <c r="F63" s="6" t="e">
        <f t="shared" si="0"/>
        <v>#VALUE!</v>
      </c>
      <c r="G63" s="6" t="e">
        <f t="shared" si="1"/>
        <v>#VALUE!</v>
      </c>
      <c r="H63" s="6" t="e">
        <f t="shared" si="2"/>
        <v>#VALUE!</v>
      </c>
      <c r="I63" s="6" t="e">
        <f t="shared" si="3"/>
        <v>#VALUE!</v>
      </c>
      <c r="J63" s="6" t="e">
        <f t="shared" si="4"/>
        <v>#VALUE!</v>
      </c>
      <c r="K63" s="6" t="e">
        <f t="shared" si="5"/>
        <v>#VALUE!</v>
      </c>
      <c r="L63" s="4"/>
      <c r="M63" s="4"/>
      <c r="N63" s="4"/>
    </row>
    <row r="64" spans="1:14">
      <c r="A64" s="4">
        <v>63</v>
      </c>
      <c r="B64" s="12"/>
      <c r="C64" s="5"/>
      <c r="D64" s="4" t="e">
        <f t="array" ref="D64">SUM(VALUE(SUBSTITUTE(_xlfn.TEXTAFTER(_xlfn.TEXTSPLIT(C64,CHAR(10)),"-",-1),"km","")))</f>
        <v>#VALUE!</v>
      </c>
      <c r="E64" s="4">
        <f>97+62+17</f>
        <v>176</v>
      </c>
      <c r="F64" s="6" t="e">
        <f t="shared" si="0"/>
        <v>#VALUE!</v>
      </c>
      <c r="G64" s="6" t="e">
        <f t="shared" si="1"/>
        <v>#VALUE!</v>
      </c>
      <c r="H64" s="6" t="e">
        <f t="shared" si="2"/>
        <v>#VALUE!</v>
      </c>
      <c r="I64" s="6" t="e">
        <f t="shared" si="3"/>
        <v>#VALUE!</v>
      </c>
      <c r="J64" s="6" t="e">
        <f t="shared" si="4"/>
        <v>#VALUE!</v>
      </c>
      <c r="K64" s="6" t="e">
        <f t="shared" si="5"/>
        <v>#VALUE!</v>
      </c>
      <c r="L64" s="4"/>
      <c r="M64" s="4"/>
      <c r="N64" s="4"/>
    </row>
    <row r="65" spans="1:14">
      <c r="A65" s="4">
        <v>64</v>
      </c>
      <c r="B65" s="12"/>
      <c r="C65" s="5"/>
      <c r="D65" s="4" t="e">
        <f t="array" ref="D65">SUM(VALUE(SUBSTITUTE(_xlfn.TEXTAFTER(_xlfn.TEXTSPLIT(C65,CHAR(10)),"-",-1),"km","")))</f>
        <v>#VALUE!</v>
      </c>
      <c r="E65" s="1">
        <f>86+10+12+10</f>
        <v>118</v>
      </c>
      <c r="F65" s="6" t="e">
        <f t="shared" si="0"/>
        <v>#VALUE!</v>
      </c>
      <c r="G65" s="6" t="e">
        <f t="shared" si="1"/>
        <v>#VALUE!</v>
      </c>
      <c r="H65" s="6" t="e">
        <f t="shared" si="2"/>
        <v>#VALUE!</v>
      </c>
      <c r="I65" s="6" t="e">
        <f t="shared" si="3"/>
        <v>#VALUE!</v>
      </c>
      <c r="J65" s="6" t="e">
        <f t="shared" si="4"/>
        <v>#VALUE!</v>
      </c>
      <c r="K65" s="6" t="e">
        <f t="shared" si="5"/>
        <v>#VALUE!</v>
      </c>
      <c r="L65" s="4"/>
      <c r="M65" s="4"/>
      <c r="N65" s="4"/>
    </row>
    <row r="66" spans="1:14">
      <c r="A66" s="4">
        <v>65</v>
      </c>
      <c r="B66" s="12"/>
      <c r="C66" s="5"/>
      <c r="D66" s="4" t="e">
        <f t="array" ref="D66">SUM(VALUE(SUBSTITUTE(_xlfn.TEXTAFTER(_xlfn.TEXTSPLIT(C66,CHAR(10)),"-",-1),"km","")))</f>
        <v>#VALUE!</v>
      </c>
      <c r="E66" s="4">
        <f>157+16</f>
        <v>173</v>
      </c>
      <c r="F66" s="6" t="e">
        <f t="shared" ref="F66:F112" si="8">G66/1.09</f>
        <v>#VALUE!</v>
      </c>
      <c r="G66" s="6" t="e">
        <f t="shared" ref="G66:G112" si="9">IF(D66&lt;=100,440,IF(D66&lt;=200,4.2,IF(D66&lt;=300,4,3.9)))</f>
        <v>#VALUE!</v>
      </c>
      <c r="H66" s="6" t="e">
        <f t="shared" ref="H66:H112" si="10">D66*F66</f>
        <v>#VALUE!</v>
      </c>
      <c r="I66" s="6" t="e">
        <f t="shared" ref="I66:I112" si="11">D66*G66</f>
        <v>#VALUE!</v>
      </c>
      <c r="J66" s="6" t="e">
        <f t="shared" ref="J66:J112" si="12">IF(D66&lt;=100,400,IF(D66&lt;=300,3.2,3))</f>
        <v>#VALUE!</v>
      </c>
      <c r="K66" s="6" t="e">
        <f t="shared" ref="K66:K112" si="13">D66*J66</f>
        <v>#VALUE!</v>
      </c>
      <c r="L66" s="4"/>
      <c r="M66" s="4"/>
      <c r="N66" s="4"/>
    </row>
    <row r="67" spans="1:14">
      <c r="A67" s="4">
        <v>66</v>
      </c>
      <c r="B67" s="12"/>
      <c r="C67" s="5"/>
      <c r="D67" s="4" t="e">
        <f t="array" ref="D67">SUM(VALUE(SUBSTITUTE(_xlfn.TEXTAFTER(_xlfn.TEXTSPLIT(C67,CHAR(10)),"-",-1),"km","")))</f>
        <v>#VALUE!</v>
      </c>
      <c r="E67" s="4">
        <f>120+74+34+43</f>
        <v>271</v>
      </c>
      <c r="F67" s="6" t="e">
        <f t="shared" si="8"/>
        <v>#VALUE!</v>
      </c>
      <c r="G67" s="6" t="e">
        <f t="shared" si="9"/>
        <v>#VALUE!</v>
      </c>
      <c r="H67" s="6" t="e">
        <f t="shared" si="10"/>
        <v>#VALUE!</v>
      </c>
      <c r="I67" s="6" t="e">
        <f t="shared" si="11"/>
        <v>#VALUE!</v>
      </c>
      <c r="J67" s="6" t="e">
        <f t="shared" si="12"/>
        <v>#VALUE!</v>
      </c>
      <c r="K67" s="6" t="e">
        <f t="shared" si="13"/>
        <v>#VALUE!</v>
      </c>
      <c r="L67" s="4"/>
      <c r="M67" s="4"/>
      <c r="N67" s="4"/>
    </row>
    <row r="68" spans="1:14">
      <c r="A68" s="4">
        <v>67</v>
      </c>
      <c r="B68" s="12"/>
      <c r="C68" s="5"/>
      <c r="D68" s="4" t="e">
        <f t="array" ref="D68">SUM(VALUE(SUBSTITUTE(_xlfn.TEXTAFTER(_xlfn.TEXTSPLIT(C68,CHAR(10)),"-",-1),"km","")))</f>
        <v>#VALUE!</v>
      </c>
      <c r="E68" s="4">
        <f>127+59+42+42+50</f>
        <v>320</v>
      </c>
      <c r="F68" s="6" t="e">
        <f t="shared" si="8"/>
        <v>#VALUE!</v>
      </c>
      <c r="G68" s="6" t="e">
        <f t="shared" si="9"/>
        <v>#VALUE!</v>
      </c>
      <c r="H68" s="6" t="e">
        <f t="shared" si="10"/>
        <v>#VALUE!</v>
      </c>
      <c r="I68" s="6" t="e">
        <f t="shared" si="11"/>
        <v>#VALUE!</v>
      </c>
      <c r="J68" s="6" t="e">
        <f t="shared" si="12"/>
        <v>#VALUE!</v>
      </c>
      <c r="K68" s="6" t="e">
        <f t="shared" si="13"/>
        <v>#VALUE!</v>
      </c>
      <c r="L68" s="4"/>
      <c r="M68" s="4"/>
      <c r="N68" s="4"/>
    </row>
    <row r="69" spans="1:14">
      <c r="A69" s="4">
        <v>68</v>
      </c>
      <c r="B69" s="12"/>
      <c r="C69" s="5"/>
      <c r="D69" s="4" t="e">
        <f t="array" ref="D69">SUM(VALUE(SUBSTITUTE(_xlfn.TEXTAFTER(_xlfn.TEXTSPLIT(C69,CHAR(10)),"-",-1),"km","")))</f>
        <v>#VALUE!</v>
      </c>
      <c r="E69" s="4">
        <f>127+59+42+42+50</f>
        <v>320</v>
      </c>
      <c r="F69" s="6" t="e">
        <f t="shared" si="8"/>
        <v>#VALUE!</v>
      </c>
      <c r="G69" s="6" t="e">
        <f t="shared" si="9"/>
        <v>#VALUE!</v>
      </c>
      <c r="H69" s="6" t="e">
        <f t="shared" si="10"/>
        <v>#VALUE!</v>
      </c>
      <c r="I69" s="6" t="e">
        <f t="shared" si="11"/>
        <v>#VALUE!</v>
      </c>
      <c r="J69" s="6" t="e">
        <f t="shared" si="12"/>
        <v>#VALUE!</v>
      </c>
      <c r="K69" s="6" t="e">
        <f t="shared" si="13"/>
        <v>#VALUE!</v>
      </c>
      <c r="L69" s="4"/>
      <c r="M69" s="4"/>
      <c r="N69" s="4"/>
    </row>
    <row r="70" spans="1:14">
      <c r="A70" s="4">
        <v>69</v>
      </c>
      <c r="B70" s="12"/>
      <c r="C70" s="5"/>
      <c r="D70" s="4" t="e">
        <f t="array" ref="D70">SUM(VALUE(SUBSTITUTE(_xlfn.TEXTAFTER(_xlfn.TEXTSPLIT(C70,CHAR(10)),"-",-1),"km","")))</f>
        <v>#VALUE!</v>
      </c>
      <c r="E70" s="4">
        <f>127+59+42+42+50</f>
        <v>320</v>
      </c>
      <c r="F70" s="6" t="e">
        <f t="shared" si="8"/>
        <v>#VALUE!</v>
      </c>
      <c r="G70" s="6" t="e">
        <f t="shared" si="9"/>
        <v>#VALUE!</v>
      </c>
      <c r="H70" s="6" t="e">
        <f t="shared" si="10"/>
        <v>#VALUE!</v>
      </c>
      <c r="I70" s="6" t="e">
        <f t="shared" si="11"/>
        <v>#VALUE!</v>
      </c>
      <c r="J70" s="6" t="e">
        <f t="shared" si="12"/>
        <v>#VALUE!</v>
      </c>
      <c r="K70" s="6" t="e">
        <f t="shared" si="13"/>
        <v>#VALUE!</v>
      </c>
      <c r="L70" s="4"/>
      <c r="M70" s="4"/>
      <c r="N70" s="4"/>
    </row>
    <row r="71" spans="1:14">
      <c r="A71" s="4">
        <v>70</v>
      </c>
      <c r="B71" s="12"/>
      <c r="C71" s="5"/>
      <c r="D71" s="4" t="e">
        <f t="array" ref="D71">SUM(VALUE(SUBSTITUTE(_xlfn.TEXTAFTER(_xlfn.TEXTSPLIT(C71,CHAR(10)),"-",-1),"km","")))</f>
        <v>#VALUE!</v>
      </c>
      <c r="E71" s="4">
        <f>86+10+12+10+6</f>
        <v>124</v>
      </c>
      <c r="F71" s="6" t="e">
        <f t="shared" si="8"/>
        <v>#VALUE!</v>
      </c>
      <c r="G71" s="6" t="e">
        <f t="shared" si="9"/>
        <v>#VALUE!</v>
      </c>
      <c r="H71" s="6" t="e">
        <f t="shared" si="10"/>
        <v>#VALUE!</v>
      </c>
      <c r="I71" s="6" t="e">
        <f t="shared" si="11"/>
        <v>#VALUE!</v>
      </c>
      <c r="J71" s="6" t="e">
        <f t="shared" si="12"/>
        <v>#VALUE!</v>
      </c>
      <c r="K71" s="6" t="e">
        <f t="shared" si="13"/>
        <v>#VALUE!</v>
      </c>
      <c r="L71" s="4"/>
      <c r="M71" s="4"/>
      <c r="N71" s="4"/>
    </row>
    <row r="72" spans="1:14">
      <c r="A72" s="4">
        <v>71</v>
      </c>
      <c r="B72" s="12"/>
      <c r="C72" s="5"/>
      <c r="D72" s="4" t="e">
        <f t="array" ref="D72">SUM(VALUE(SUBSTITUTE(_xlfn.TEXTAFTER(_xlfn.TEXTSPLIT(C72,CHAR(10)),"-",-1),"km","")))</f>
        <v>#VALUE!</v>
      </c>
      <c r="E72" s="4">
        <v>1</v>
      </c>
      <c r="F72" s="6" t="e">
        <f t="shared" si="8"/>
        <v>#VALUE!</v>
      </c>
      <c r="G72" s="6" t="e">
        <f t="shared" si="9"/>
        <v>#VALUE!</v>
      </c>
      <c r="H72" s="6" t="e">
        <f t="shared" si="10"/>
        <v>#VALUE!</v>
      </c>
      <c r="I72" s="6" t="e">
        <f t="shared" si="11"/>
        <v>#VALUE!</v>
      </c>
      <c r="J72" s="6" t="e">
        <f t="shared" si="12"/>
        <v>#VALUE!</v>
      </c>
      <c r="K72" s="6" t="e">
        <f t="shared" si="13"/>
        <v>#VALUE!</v>
      </c>
      <c r="L72" s="4"/>
      <c r="M72" s="4"/>
      <c r="N72" s="4"/>
    </row>
    <row r="73" spans="1:14">
      <c r="A73" s="4">
        <v>72</v>
      </c>
      <c r="B73" s="12"/>
      <c r="C73" s="5"/>
      <c r="D73" s="4" t="e">
        <f t="array" ref="D73">SUM(VALUE(SUBSTITUTE(_xlfn.TEXTAFTER(_xlfn.TEXTSPLIT(C73,CHAR(10)),"-",-1),"km","")))</f>
        <v>#VALUE!</v>
      </c>
      <c r="E73" s="4">
        <f>157+16</f>
        <v>173</v>
      </c>
      <c r="F73" s="6" t="e">
        <f t="shared" si="8"/>
        <v>#VALUE!</v>
      </c>
      <c r="G73" s="6" t="e">
        <f t="shared" si="9"/>
        <v>#VALUE!</v>
      </c>
      <c r="H73" s="6" t="e">
        <f t="shared" si="10"/>
        <v>#VALUE!</v>
      </c>
      <c r="I73" s="6" t="e">
        <f t="shared" si="11"/>
        <v>#VALUE!</v>
      </c>
      <c r="J73" s="6" t="e">
        <f t="shared" si="12"/>
        <v>#VALUE!</v>
      </c>
      <c r="K73" s="6" t="e">
        <f t="shared" si="13"/>
        <v>#VALUE!</v>
      </c>
      <c r="L73" s="4"/>
      <c r="M73" s="4"/>
      <c r="N73" s="4"/>
    </row>
    <row r="74" spans="1:14">
      <c r="A74" s="4">
        <v>73</v>
      </c>
      <c r="B74" s="12"/>
      <c r="C74" s="5"/>
      <c r="D74" s="4" t="e">
        <f t="array" ref="D74">SUM(VALUE(SUBSTITUTE(_xlfn.TEXTAFTER(_xlfn.TEXTSPLIT(C74,CHAR(10)),"-",-1),"km","")))</f>
        <v>#VALUE!</v>
      </c>
      <c r="E74" s="4">
        <f>167+38+3.6+39+50</f>
        <v>297.6</v>
      </c>
      <c r="F74" s="6" t="e">
        <f t="shared" si="8"/>
        <v>#VALUE!</v>
      </c>
      <c r="G74" s="6" t="e">
        <f t="shared" si="9"/>
        <v>#VALUE!</v>
      </c>
      <c r="H74" s="6" t="e">
        <f t="shared" si="10"/>
        <v>#VALUE!</v>
      </c>
      <c r="I74" s="6" t="e">
        <f t="shared" si="11"/>
        <v>#VALUE!</v>
      </c>
      <c r="J74" s="6" t="e">
        <f t="shared" si="12"/>
        <v>#VALUE!</v>
      </c>
      <c r="K74" s="6" t="e">
        <f t="shared" si="13"/>
        <v>#VALUE!</v>
      </c>
      <c r="L74" s="4"/>
      <c r="M74" s="4"/>
      <c r="N74" s="4"/>
    </row>
    <row r="75" spans="1:14">
      <c r="A75" s="4">
        <v>74</v>
      </c>
      <c r="B75" s="12"/>
      <c r="C75" s="14"/>
      <c r="D75" s="4" t="e">
        <f t="array" ref="D75">SUM(VALUE(SUBSTITUTE(_xlfn.TEXTAFTER(_xlfn.TEXTSPLIT(C75,CHAR(10)),"-",-1),"km","")))</f>
        <v>#VALUE!</v>
      </c>
      <c r="E75" s="4">
        <f>167+38+3.6+39+50</f>
        <v>297.6</v>
      </c>
      <c r="F75" s="6" t="e">
        <f t="shared" si="8"/>
        <v>#VALUE!</v>
      </c>
      <c r="G75" s="6" t="e">
        <f t="shared" si="9"/>
        <v>#VALUE!</v>
      </c>
      <c r="H75" s="6" t="e">
        <f t="shared" si="10"/>
        <v>#VALUE!</v>
      </c>
      <c r="I75" s="6" t="e">
        <f t="shared" si="11"/>
        <v>#VALUE!</v>
      </c>
      <c r="J75" s="6" t="e">
        <f t="shared" si="12"/>
        <v>#VALUE!</v>
      </c>
      <c r="K75" s="6" t="e">
        <f t="shared" si="13"/>
        <v>#VALUE!</v>
      </c>
      <c r="L75" s="4"/>
      <c r="M75" s="4"/>
      <c r="N75" s="4"/>
    </row>
    <row r="76" spans="1:14">
      <c r="A76" s="4">
        <v>75</v>
      </c>
      <c r="B76" s="12"/>
      <c r="C76" s="5"/>
      <c r="D76" s="4" t="e">
        <f t="array" ref="D76">SUM(VALUE(SUBSTITUTE(_xlfn.TEXTAFTER(_xlfn.TEXTSPLIT(C76,CHAR(10)),"-",-1),"km","")))</f>
        <v>#VALUE!</v>
      </c>
      <c r="E76" s="4">
        <f>167+38+3.6+39+50</f>
        <v>297.6</v>
      </c>
      <c r="F76" s="6" t="e">
        <f t="shared" si="8"/>
        <v>#VALUE!</v>
      </c>
      <c r="G76" s="6" t="e">
        <f t="shared" si="9"/>
        <v>#VALUE!</v>
      </c>
      <c r="H76" s="6" t="e">
        <f t="shared" si="10"/>
        <v>#VALUE!</v>
      </c>
      <c r="I76" s="6" t="e">
        <f t="shared" si="11"/>
        <v>#VALUE!</v>
      </c>
      <c r="J76" s="6" t="e">
        <f t="shared" si="12"/>
        <v>#VALUE!</v>
      </c>
      <c r="K76" s="6" t="e">
        <f t="shared" si="13"/>
        <v>#VALUE!</v>
      </c>
      <c r="L76" s="4"/>
      <c r="M76" s="4"/>
      <c r="N76" s="4"/>
    </row>
    <row r="77" spans="1:14">
      <c r="A77" s="4">
        <v>76</v>
      </c>
      <c r="B77" s="12"/>
      <c r="C77" s="5"/>
      <c r="D77" s="4" t="e">
        <f t="array" ref="D77">SUM(VALUE(SUBSTITUTE(_xlfn.TEXTAFTER(_xlfn.TEXTSPLIT(C77,CHAR(10)),"-",-1),"km","")))</f>
        <v>#VALUE!</v>
      </c>
      <c r="E77" s="4">
        <f>167+38+3.6+39+50</f>
        <v>297.6</v>
      </c>
      <c r="F77" s="6" t="e">
        <f t="shared" si="8"/>
        <v>#VALUE!</v>
      </c>
      <c r="G77" s="6" t="e">
        <f t="shared" si="9"/>
        <v>#VALUE!</v>
      </c>
      <c r="H77" s="6" t="e">
        <f t="shared" si="10"/>
        <v>#VALUE!</v>
      </c>
      <c r="I77" s="6" t="e">
        <f t="shared" si="11"/>
        <v>#VALUE!</v>
      </c>
      <c r="J77" s="6" t="e">
        <f t="shared" si="12"/>
        <v>#VALUE!</v>
      </c>
      <c r="K77" s="6" t="e">
        <f t="shared" si="13"/>
        <v>#VALUE!</v>
      </c>
      <c r="L77" s="4"/>
      <c r="M77" s="4"/>
      <c r="N77" s="4"/>
    </row>
    <row r="78" spans="1:14">
      <c r="A78" s="4">
        <v>77</v>
      </c>
      <c r="B78" s="12"/>
      <c r="C78" s="5"/>
      <c r="D78" s="4" t="e">
        <f t="array" ref="D78">SUM(VALUE(SUBSTITUTE(_xlfn.TEXTAFTER(_xlfn.TEXTSPLIT(C78,CHAR(10)),"-",-1),"km","")))</f>
        <v>#VALUE!</v>
      </c>
      <c r="E78" s="4">
        <f>167+38+3.6+39+50</f>
        <v>297.6</v>
      </c>
      <c r="F78" s="6" t="e">
        <f t="shared" si="8"/>
        <v>#VALUE!</v>
      </c>
      <c r="G78" s="6" t="e">
        <f t="shared" si="9"/>
        <v>#VALUE!</v>
      </c>
      <c r="H78" s="6" t="e">
        <f t="shared" si="10"/>
        <v>#VALUE!</v>
      </c>
      <c r="I78" s="6" t="e">
        <f t="shared" si="11"/>
        <v>#VALUE!</v>
      </c>
      <c r="J78" s="6" t="e">
        <f t="shared" si="12"/>
        <v>#VALUE!</v>
      </c>
      <c r="K78" s="6" t="e">
        <f t="shared" si="13"/>
        <v>#VALUE!</v>
      </c>
      <c r="L78" s="4"/>
      <c r="M78" s="4"/>
      <c r="N78" s="4"/>
    </row>
    <row r="79" spans="1:14">
      <c r="A79" s="4">
        <v>78</v>
      </c>
      <c r="B79" s="12"/>
      <c r="C79" s="5"/>
      <c r="D79" s="4" t="e">
        <f t="array" ref="D79">SUM(VALUE(SUBSTITUTE(_xlfn.TEXTAFTER(_xlfn.TEXTSPLIT(C79,CHAR(10)),"-",-1),"km","")))</f>
        <v>#VALUE!</v>
      </c>
      <c r="E79" s="4">
        <f>120+55+62+34+43</f>
        <v>314</v>
      </c>
      <c r="F79" s="6" t="e">
        <f t="shared" si="8"/>
        <v>#VALUE!</v>
      </c>
      <c r="G79" s="6" t="e">
        <f t="shared" si="9"/>
        <v>#VALUE!</v>
      </c>
      <c r="H79" s="6" t="e">
        <f t="shared" si="10"/>
        <v>#VALUE!</v>
      </c>
      <c r="I79" s="6" t="e">
        <f t="shared" si="11"/>
        <v>#VALUE!</v>
      </c>
      <c r="J79" s="6" t="e">
        <f t="shared" si="12"/>
        <v>#VALUE!</v>
      </c>
      <c r="K79" s="6" t="e">
        <f t="shared" si="13"/>
        <v>#VALUE!</v>
      </c>
      <c r="L79" s="4"/>
      <c r="M79" s="4"/>
      <c r="N79" s="4"/>
    </row>
    <row r="80" spans="1:14">
      <c r="A80" s="4">
        <v>79</v>
      </c>
      <c r="B80" s="12"/>
      <c r="C80" s="5"/>
      <c r="D80" s="4" t="e">
        <f t="array" ref="D80">SUM(VALUE(SUBSTITUTE(_xlfn.TEXTAFTER(_xlfn.TEXTSPLIT(C80,CHAR(10)),"-",-1),"km","")))</f>
        <v>#VALUE!</v>
      </c>
      <c r="E80" s="4">
        <f>101+6+62+17</f>
        <v>186</v>
      </c>
      <c r="F80" s="6" t="e">
        <f t="shared" si="8"/>
        <v>#VALUE!</v>
      </c>
      <c r="G80" s="6" t="e">
        <f t="shared" si="9"/>
        <v>#VALUE!</v>
      </c>
      <c r="H80" s="6" t="e">
        <f t="shared" si="10"/>
        <v>#VALUE!</v>
      </c>
      <c r="I80" s="6" t="e">
        <f t="shared" si="11"/>
        <v>#VALUE!</v>
      </c>
      <c r="J80" s="6" t="e">
        <f t="shared" si="12"/>
        <v>#VALUE!</v>
      </c>
      <c r="K80" s="6" t="e">
        <f t="shared" si="13"/>
        <v>#VALUE!</v>
      </c>
      <c r="L80" s="4"/>
      <c r="M80" s="4"/>
      <c r="N80" s="4"/>
    </row>
    <row r="81" spans="1:14">
      <c r="A81" s="4">
        <v>80</v>
      </c>
      <c r="B81" s="12"/>
      <c r="C81" s="5"/>
      <c r="D81" s="4" t="e">
        <f t="array" ref="D81">SUM(VALUE(SUBSTITUTE(_xlfn.TEXTAFTER(_xlfn.TEXTSPLIT(C81,CHAR(10)),"-",-1),"km","")))</f>
        <v>#VALUE!</v>
      </c>
      <c r="E81" s="4">
        <f>18+22+67+10+12</f>
        <v>129</v>
      </c>
      <c r="F81" s="6" t="e">
        <f t="shared" si="8"/>
        <v>#VALUE!</v>
      </c>
      <c r="G81" s="6" t="e">
        <f t="shared" si="9"/>
        <v>#VALUE!</v>
      </c>
      <c r="H81" s="6" t="e">
        <f t="shared" si="10"/>
        <v>#VALUE!</v>
      </c>
      <c r="I81" s="6" t="e">
        <f t="shared" si="11"/>
        <v>#VALUE!</v>
      </c>
      <c r="J81" s="6" t="e">
        <f t="shared" si="12"/>
        <v>#VALUE!</v>
      </c>
      <c r="K81" s="6" t="e">
        <f t="shared" si="13"/>
        <v>#VALUE!</v>
      </c>
      <c r="L81" s="4"/>
      <c r="M81" s="4"/>
      <c r="N81" s="4"/>
    </row>
    <row r="82" spans="1:14">
      <c r="A82" s="4">
        <v>81</v>
      </c>
      <c r="B82" s="12"/>
      <c r="C82" s="5"/>
      <c r="D82" s="4" t="e">
        <f t="array" ref="D82">SUM(VALUE(SUBSTITUTE(_xlfn.TEXTAFTER(_xlfn.TEXTSPLIT(C82,CHAR(10)),"-",-1),"km","")))</f>
        <v>#VALUE!</v>
      </c>
      <c r="E82" s="4">
        <f>18+22+67+10+12</f>
        <v>129</v>
      </c>
      <c r="F82" s="6" t="e">
        <f t="shared" si="8"/>
        <v>#VALUE!</v>
      </c>
      <c r="G82" s="6" t="e">
        <f t="shared" si="9"/>
        <v>#VALUE!</v>
      </c>
      <c r="H82" s="6" t="e">
        <f t="shared" si="10"/>
        <v>#VALUE!</v>
      </c>
      <c r="I82" s="6" t="e">
        <f t="shared" si="11"/>
        <v>#VALUE!</v>
      </c>
      <c r="J82" s="6" t="e">
        <f t="shared" si="12"/>
        <v>#VALUE!</v>
      </c>
      <c r="K82" s="6" t="e">
        <f t="shared" si="13"/>
        <v>#VALUE!</v>
      </c>
      <c r="L82" s="4"/>
      <c r="M82" s="4"/>
      <c r="N82" s="4"/>
    </row>
    <row r="83" spans="1:14">
      <c r="A83" s="4">
        <v>82</v>
      </c>
      <c r="B83" s="12"/>
      <c r="C83" s="5"/>
      <c r="D83" s="4" t="e">
        <f t="array" ref="D83">SUM(VALUE(SUBSTITUTE(_xlfn.TEXTAFTER(_xlfn.TEXTSPLIT(C83,CHAR(10)),"-",-1),"km","")))</f>
        <v>#VALUE!</v>
      </c>
      <c r="E83" s="4">
        <f>120+91+42+60</f>
        <v>313</v>
      </c>
      <c r="F83" s="6" t="e">
        <f t="shared" si="8"/>
        <v>#VALUE!</v>
      </c>
      <c r="G83" s="6" t="e">
        <f t="shared" si="9"/>
        <v>#VALUE!</v>
      </c>
      <c r="H83" s="6" t="e">
        <f t="shared" si="10"/>
        <v>#VALUE!</v>
      </c>
      <c r="I83" s="6" t="e">
        <f t="shared" si="11"/>
        <v>#VALUE!</v>
      </c>
      <c r="J83" s="6" t="e">
        <f t="shared" si="12"/>
        <v>#VALUE!</v>
      </c>
      <c r="K83" s="6" t="e">
        <f t="shared" si="13"/>
        <v>#VALUE!</v>
      </c>
      <c r="L83" s="4"/>
      <c r="M83" s="4"/>
      <c r="N83" s="4"/>
    </row>
    <row r="84" spans="1:14">
      <c r="A84" s="4">
        <v>83</v>
      </c>
      <c r="B84" s="12"/>
      <c r="C84" s="5"/>
      <c r="D84" s="4" t="e">
        <f t="array" ref="D84">SUM(VALUE(SUBSTITUTE(_xlfn.TEXTAFTER(_xlfn.TEXTSPLIT(C84,CHAR(10)),"-",-1),"km","")))</f>
        <v>#VALUE!</v>
      </c>
      <c r="E84" s="4">
        <f>189+3.6+39+45</f>
        <v>276.6</v>
      </c>
      <c r="F84" s="6" t="e">
        <f t="shared" si="8"/>
        <v>#VALUE!</v>
      </c>
      <c r="G84" s="6" t="e">
        <f t="shared" si="9"/>
        <v>#VALUE!</v>
      </c>
      <c r="H84" s="6" t="e">
        <f t="shared" si="10"/>
        <v>#VALUE!</v>
      </c>
      <c r="I84" s="6" t="e">
        <f t="shared" si="11"/>
        <v>#VALUE!</v>
      </c>
      <c r="J84" s="6" t="e">
        <f t="shared" si="12"/>
        <v>#VALUE!</v>
      </c>
      <c r="K84" s="6" t="e">
        <f t="shared" si="13"/>
        <v>#VALUE!</v>
      </c>
      <c r="L84" s="4"/>
      <c r="M84" s="4"/>
      <c r="N84" s="4"/>
    </row>
    <row r="85" spans="1:14">
      <c r="A85" s="4">
        <v>84</v>
      </c>
      <c r="B85" s="12"/>
      <c r="C85" s="5"/>
      <c r="D85" s="4" t="e">
        <f t="array" ref="D85">SUM(VALUE(SUBSTITUTE(_xlfn.TEXTAFTER(_xlfn.TEXTSPLIT(C85,CHAR(10)),"-",-1),"km","")))</f>
        <v>#VALUE!</v>
      </c>
      <c r="E85" s="4">
        <f>160+81</f>
        <v>241</v>
      </c>
      <c r="F85" s="6" t="e">
        <f t="shared" si="8"/>
        <v>#VALUE!</v>
      </c>
      <c r="G85" s="6" t="e">
        <f t="shared" si="9"/>
        <v>#VALUE!</v>
      </c>
      <c r="H85" s="6" t="e">
        <f t="shared" si="10"/>
        <v>#VALUE!</v>
      </c>
      <c r="I85" s="6" t="e">
        <f t="shared" si="11"/>
        <v>#VALUE!</v>
      </c>
      <c r="J85" s="6" t="e">
        <f t="shared" si="12"/>
        <v>#VALUE!</v>
      </c>
      <c r="K85" s="6" t="e">
        <f t="shared" si="13"/>
        <v>#VALUE!</v>
      </c>
      <c r="L85" s="4"/>
      <c r="M85" s="4"/>
      <c r="N85" s="4"/>
    </row>
    <row r="86" spans="1:14">
      <c r="A86" s="4">
        <v>85</v>
      </c>
      <c r="B86" s="12"/>
      <c r="C86" s="5"/>
      <c r="D86" s="4" t="e">
        <f t="array" ref="D86">SUM(VALUE(SUBSTITUTE(_xlfn.TEXTAFTER(_xlfn.TEXTSPLIT(C86,CHAR(10)),"-",-1),"km","")))</f>
        <v>#VALUE!</v>
      </c>
      <c r="E86" s="4">
        <f>171+34+43</f>
        <v>248</v>
      </c>
      <c r="F86" s="6" t="e">
        <f t="shared" si="8"/>
        <v>#VALUE!</v>
      </c>
      <c r="G86" s="6" t="e">
        <f t="shared" si="9"/>
        <v>#VALUE!</v>
      </c>
      <c r="H86" s="6" t="e">
        <f t="shared" si="10"/>
        <v>#VALUE!</v>
      </c>
      <c r="I86" s="6" t="e">
        <f t="shared" si="11"/>
        <v>#VALUE!</v>
      </c>
      <c r="J86" s="6" t="e">
        <f t="shared" si="12"/>
        <v>#VALUE!</v>
      </c>
      <c r="K86" s="6" t="e">
        <f t="shared" si="13"/>
        <v>#VALUE!</v>
      </c>
      <c r="L86" s="4"/>
      <c r="M86" s="4"/>
      <c r="N86" s="4"/>
    </row>
    <row r="87" spans="1:14">
      <c r="A87" s="4">
        <v>86</v>
      </c>
      <c r="B87" s="12"/>
      <c r="C87" s="5"/>
      <c r="D87" s="4" t="e">
        <f t="array" ref="D87">SUM(VALUE(SUBSTITUTE(_xlfn.TEXTAFTER(_xlfn.TEXTSPLIT(C87,CHAR(10)),"-",-1),"km","")))</f>
        <v>#VALUE!</v>
      </c>
      <c r="E87" s="4">
        <f>180+17+59+47</f>
        <v>303</v>
      </c>
      <c r="F87" s="6" t="e">
        <f t="shared" si="8"/>
        <v>#VALUE!</v>
      </c>
      <c r="G87" s="6" t="e">
        <f t="shared" si="9"/>
        <v>#VALUE!</v>
      </c>
      <c r="H87" s="6" t="e">
        <f t="shared" si="10"/>
        <v>#VALUE!</v>
      </c>
      <c r="I87" s="6" t="e">
        <f t="shared" si="11"/>
        <v>#VALUE!</v>
      </c>
      <c r="J87" s="6" t="e">
        <f t="shared" si="12"/>
        <v>#VALUE!</v>
      </c>
      <c r="K87" s="6" t="e">
        <f t="shared" si="13"/>
        <v>#VALUE!</v>
      </c>
      <c r="L87" s="4"/>
      <c r="M87" s="4"/>
      <c r="N87" s="4"/>
    </row>
    <row r="88" spans="1:14">
      <c r="A88" s="4">
        <v>87</v>
      </c>
      <c r="B88" s="12"/>
      <c r="C88" s="5"/>
      <c r="D88" s="4" t="e">
        <f t="array" ref="D88">SUM(VALUE(SUBSTITUTE(_xlfn.TEXTAFTER(_xlfn.TEXTSPLIT(C88,CHAR(10)),"-",-1),"km","")))</f>
        <v>#VALUE!</v>
      </c>
      <c r="E88" s="4">
        <f>86+10+12+10</f>
        <v>118</v>
      </c>
      <c r="F88" s="6" t="e">
        <f t="shared" si="8"/>
        <v>#VALUE!</v>
      </c>
      <c r="G88" s="6" t="e">
        <f t="shared" si="9"/>
        <v>#VALUE!</v>
      </c>
      <c r="H88" s="6" t="e">
        <f t="shared" si="10"/>
        <v>#VALUE!</v>
      </c>
      <c r="I88" s="6" t="e">
        <f t="shared" si="11"/>
        <v>#VALUE!</v>
      </c>
      <c r="J88" s="6" t="e">
        <f t="shared" si="12"/>
        <v>#VALUE!</v>
      </c>
      <c r="K88" s="6" t="e">
        <f t="shared" si="13"/>
        <v>#VALUE!</v>
      </c>
      <c r="L88" s="4"/>
      <c r="M88" s="4"/>
      <c r="N88" s="4"/>
    </row>
    <row r="89" spans="1:14">
      <c r="A89" s="4">
        <v>88</v>
      </c>
      <c r="B89" s="12"/>
      <c r="C89" s="5"/>
      <c r="D89" s="4" t="e">
        <f t="array" ref="D89">SUM(VALUE(SUBSTITUTE(_xlfn.TEXTAFTER(_xlfn.TEXTSPLIT(C89,CHAR(10)),"-",-1),"km","")))</f>
        <v>#VALUE!</v>
      </c>
      <c r="E89" s="4">
        <f>42+74+65+17</f>
        <v>198</v>
      </c>
      <c r="F89" s="6" t="e">
        <f t="shared" si="8"/>
        <v>#VALUE!</v>
      </c>
      <c r="G89" s="6" t="e">
        <f t="shared" si="9"/>
        <v>#VALUE!</v>
      </c>
      <c r="H89" s="6" t="e">
        <f t="shared" si="10"/>
        <v>#VALUE!</v>
      </c>
      <c r="I89" s="6" t="e">
        <f t="shared" si="11"/>
        <v>#VALUE!</v>
      </c>
      <c r="J89" s="6" t="e">
        <f t="shared" si="12"/>
        <v>#VALUE!</v>
      </c>
      <c r="K89" s="6" t="e">
        <f t="shared" si="13"/>
        <v>#VALUE!</v>
      </c>
      <c r="L89" s="4"/>
      <c r="M89" s="4"/>
      <c r="N89" s="4"/>
    </row>
    <row r="90" spans="1:14">
      <c r="A90" s="4">
        <v>89</v>
      </c>
      <c r="B90" s="12"/>
      <c r="C90" s="5"/>
      <c r="D90" s="4" t="e">
        <f t="array" ref="D90">SUM(VALUE(SUBSTITUTE(_xlfn.TEXTAFTER(_xlfn.TEXTSPLIT(C90,CHAR(10)),"-",-1),"km","")))</f>
        <v>#VALUE!</v>
      </c>
      <c r="E90" s="4">
        <f>42+74+65+17</f>
        <v>198</v>
      </c>
      <c r="F90" s="6" t="e">
        <f t="shared" si="8"/>
        <v>#VALUE!</v>
      </c>
      <c r="G90" s="6" t="e">
        <f t="shared" si="9"/>
        <v>#VALUE!</v>
      </c>
      <c r="H90" s="6" t="e">
        <f t="shared" si="10"/>
        <v>#VALUE!</v>
      </c>
      <c r="I90" s="6" t="e">
        <f t="shared" si="11"/>
        <v>#VALUE!</v>
      </c>
      <c r="J90" s="6" t="e">
        <f t="shared" si="12"/>
        <v>#VALUE!</v>
      </c>
      <c r="K90" s="6" t="e">
        <f t="shared" si="13"/>
        <v>#VALUE!</v>
      </c>
      <c r="L90" s="4"/>
      <c r="M90" s="4"/>
      <c r="N90" s="4"/>
    </row>
    <row r="91" spans="1:14">
      <c r="A91" s="4">
        <v>90</v>
      </c>
      <c r="B91" s="12"/>
      <c r="C91" s="5"/>
      <c r="D91" s="4" t="e">
        <f t="array" ref="D91">SUM(VALUE(SUBSTITUTE(_xlfn.TEXTAFTER(_xlfn.TEXTSPLIT(C91,CHAR(10)),"-",-1),"km","")))</f>
        <v>#VALUE!</v>
      </c>
      <c r="E91" s="4">
        <f>98+55+74+3.6+39+50</f>
        <v>319.6</v>
      </c>
      <c r="F91" s="6" t="e">
        <f t="shared" si="8"/>
        <v>#VALUE!</v>
      </c>
      <c r="G91" s="6" t="e">
        <f t="shared" si="9"/>
        <v>#VALUE!</v>
      </c>
      <c r="H91" s="6" t="e">
        <f t="shared" si="10"/>
        <v>#VALUE!</v>
      </c>
      <c r="I91" s="6" t="e">
        <f t="shared" si="11"/>
        <v>#VALUE!</v>
      </c>
      <c r="J91" s="6" t="e">
        <f t="shared" si="12"/>
        <v>#VALUE!</v>
      </c>
      <c r="K91" s="6" t="e">
        <f t="shared" si="13"/>
        <v>#VALUE!</v>
      </c>
      <c r="L91" s="4"/>
      <c r="M91" s="4"/>
      <c r="N91" s="4"/>
    </row>
    <row r="92" spans="1:14">
      <c r="A92" s="4">
        <v>91</v>
      </c>
      <c r="B92" s="12"/>
      <c r="C92" s="5"/>
      <c r="D92" s="4" t="e">
        <f t="array" ref="D92">SUM(VALUE(SUBSTITUTE(_xlfn.TEXTAFTER(_xlfn.TEXTSPLIT(C92,CHAR(10)),"-",-1),"km","")))</f>
        <v>#VALUE!</v>
      </c>
      <c r="E92" s="4">
        <f>180+16+9.5+59+47</f>
        <v>311.5</v>
      </c>
      <c r="F92" s="6" t="e">
        <f t="shared" si="8"/>
        <v>#VALUE!</v>
      </c>
      <c r="G92" s="6" t="e">
        <f t="shared" si="9"/>
        <v>#VALUE!</v>
      </c>
      <c r="H92" s="6" t="e">
        <f t="shared" si="10"/>
        <v>#VALUE!</v>
      </c>
      <c r="I92" s="6" t="e">
        <f t="shared" si="11"/>
        <v>#VALUE!</v>
      </c>
      <c r="J92" s="6" t="e">
        <f t="shared" si="12"/>
        <v>#VALUE!</v>
      </c>
      <c r="K92" s="6" t="e">
        <f t="shared" si="13"/>
        <v>#VALUE!</v>
      </c>
      <c r="L92" s="4"/>
      <c r="M92" s="4"/>
      <c r="N92" s="4"/>
    </row>
    <row r="93" spans="1:14">
      <c r="A93" s="4">
        <v>92</v>
      </c>
      <c r="B93" s="12"/>
      <c r="C93" s="5"/>
      <c r="D93" s="4" t="e">
        <f t="array" ref="D93">SUM(VALUE(SUBSTITUTE(_xlfn.TEXTAFTER(_xlfn.TEXTSPLIT(C93,CHAR(10)),"-",-1),"km","")))</f>
        <v>#VALUE!</v>
      </c>
      <c r="E93" s="4">
        <f>120+109+53+32</f>
        <v>314</v>
      </c>
      <c r="F93" s="6" t="e">
        <f t="shared" si="8"/>
        <v>#VALUE!</v>
      </c>
      <c r="G93" s="6" t="e">
        <f t="shared" si="9"/>
        <v>#VALUE!</v>
      </c>
      <c r="H93" s="6" t="e">
        <f t="shared" si="10"/>
        <v>#VALUE!</v>
      </c>
      <c r="I93" s="6" t="e">
        <f t="shared" si="11"/>
        <v>#VALUE!</v>
      </c>
      <c r="J93" s="6" t="e">
        <f t="shared" si="12"/>
        <v>#VALUE!</v>
      </c>
      <c r="K93" s="6" t="e">
        <f t="shared" si="13"/>
        <v>#VALUE!</v>
      </c>
      <c r="L93" s="4"/>
      <c r="M93" s="4"/>
      <c r="N93" s="4"/>
    </row>
    <row r="94" spans="1:14">
      <c r="A94" s="4">
        <v>93</v>
      </c>
      <c r="B94" s="12"/>
      <c r="C94" s="5"/>
      <c r="D94" s="4" t="e">
        <f t="array" ref="D94">SUM(VALUE(SUBSTITUTE(_xlfn.TEXTAFTER(_xlfn.TEXTSPLIT(C94,CHAR(10)),"-",-1),"km","")))</f>
        <v>#VALUE!</v>
      </c>
      <c r="E94" s="4"/>
      <c r="F94" s="6" t="e">
        <f t="shared" si="8"/>
        <v>#VALUE!</v>
      </c>
      <c r="G94" s="6" t="e">
        <f t="shared" si="9"/>
        <v>#VALUE!</v>
      </c>
      <c r="H94" s="6" t="e">
        <f t="shared" si="10"/>
        <v>#VALUE!</v>
      </c>
      <c r="I94" s="6" t="e">
        <f t="shared" si="11"/>
        <v>#VALUE!</v>
      </c>
      <c r="J94" s="6" t="e">
        <f t="shared" si="12"/>
        <v>#VALUE!</v>
      </c>
      <c r="K94" s="6" t="e">
        <f t="shared" si="13"/>
        <v>#VALUE!</v>
      </c>
      <c r="L94" s="4"/>
      <c r="M94" s="4"/>
      <c r="N94" s="4"/>
    </row>
    <row r="95" spans="1:14">
      <c r="A95" s="4">
        <v>94</v>
      </c>
      <c r="B95" s="12"/>
      <c r="C95" s="5"/>
      <c r="D95" s="4" t="e">
        <f t="array" ref="D95">SUM(VALUE(SUBSTITUTE(_xlfn.TEXTAFTER(_xlfn.TEXTSPLIT(C95,CHAR(10)),"-",-1),"km","")))</f>
        <v>#VALUE!</v>
      </c>
      <c r="E95" s="4"/>
      <c r="F95" s="6" t="e">
        <f t="shared" si="8"/>
        <v>#VALUE!</v>
      </c>
      <c r="G95" s="6" t="e">
        <f t="shared" si="9"/>
        <v>#VALUE!</v>
      </c>
      <c r="H95" s="6" t="e">
        <f t="shared" si="10"/>
        <v>#VALUE!</v>
      </c>
      <c r="I95" s="6" t="e">
        <f t="shared" si="11"/>
        <v>#VALUE!</v>
      </c>
      <c r="J95" s="6" t="e">
        <f t="shared" si="12"/>
        <v>#VALUE!</v>
      </c>
      <c r="K95" s="6" t="e">
        <f t="shared" si="13"/>
        <v>#VALUE!</v>
      </c>
      <c r="L95" s="4"/>
      <c r="M95" s="4"/>
      <c r="N95" s="4"/>
    </row>
    <row r="96" spans="1:14">
      <c r="A96" s="4">
        <v>95</v>
      </c>
      <c r="B96" s="12"/>
      <c r="C96" s="5"/>
      <c r="D96" s="4" t="e">
        <f t="array" ref="D96">SUM(VALUE(SUBSTITUTE(_xlfn.TEXTAFTER(_xlfn.TEXTSPLIT(C96,CHAR(10)),"-",-1),"km","")))</f>
        <v>#VALUE!</v>
      </c>
      <c r="E96" s="4"/>
      <c r="F96" s="6" t="e">
        <f t="shared" si="8"/>
        <v>#VALUE!</v>
      </c>
      <c r="G96" s="6" t="e">
        <f t="shared" si="9"/>
        <v>#VALUE!</v>
      </c>
      <c r="H96" s="6" t="e">
        <f t="shared" si="10"/>
        <v>#VALUE!</v>
      </c>
      <c r="I96" s="6" t="e">
        <f t="shared" si="11"/>
        <v>#VALUE!</v>
      </c>
      <c r="J96" s="6" t="e">
        <f t="shared" si="12"/>
        <v>#VALUE!</v>
      </c>
      <c r="K96" s="6" t="e">
        <f t="shared" si="13"/>
        <v>#VALUE!</v>
      </c>
      <c r="L96" s="4"/>
      <c r="M96" s="4"/>
      <c r="N96" s="4"/>
    </row>
    <row r="97" spans="1:14">
      <c r="A97" s="4">
        <v>96</v>
      </c>
      <c r="B97" s="12"/>
      <c r="C97" s="5"/>
      <c r="D97" s="4" t="e">
        <f t="array" ref="D97">SUM(VALUE(SUBSTITUTE(_xlfn.TEXTAFTER(_xlfn.TEXTSPLIT(C97,CHAR(10)),"-",-1),"km","")))</f>
        <v>#VALUE!</v>
      </c>
      <c r="E97" s="4">
        <f t="shared" ref="E97:E112" si="14">35+67+10+12+10+6</f>
        <v>140</v>
      </c>
      <c r="F97" s="6" t="e">
        <f t="shared" si="8"/>
        <v>#VALUE!</v>
      </c>
      <c r="G97" s="6" t="e">
        <f t="shared" si="9"/>
        <v>#VALUE!</v>
      </c>
      <c r="H97" s="6" t="e">
        <f t="shared" si="10"/>
        <v>#VALUE!</v>
      </c>
      <c r="I97" s="6" t="e">
        <f t="shared" si="11"/>
        <v>#VALUE!</v>
      </c>
      <c r="J97" s="6" t="e">
        <f t="shared" si="12"/>
        <v>#VALUE!</v>
      </c>
      <c r="K97" s="6" t="e">
        <f t="shared" si="13"/>
        <v>#VALUE!</v>
      </c>
      <c r="L97" s="4"/>
      <c r="M97" s="4"/>
      <c r="N97" s="4"/>
    </row>
    <row r="98" spans="1:14">
      <c r="A98" s="4">
        <v>97</v>
      </c>
      <c r="B98" s="12"/>
      <c r="C98" s="5"/>
      <c r="D98" s="4" t="e">
        <f t="array" ref="D98">SUM(VALUE(SUBSTITUTE(_xlfn.TEXTAFTER(_xlfn.TEXTSPLIT(C98,CHAR(10)),"-",-1),"km","")))</f>
        <v>#VALUE!</v>
      </c>
      <c r="E98" s="4">
        <f t="shared" si="14"/>
        <v>140</v>
      </c>
      <c r="F98" s="6" t="e">
        <f t="shared" si="8"/>
        <v>#VALUE!</v>
      </c>
      <c r="G98" s="6" t="e">
        <f t="shared" si="9"/>
        <v>#VALUE!</v>
      </c>
      <c r="H98" s="6" t="e">
        <f t="shared" si="10"/>
        <v>#VALUE!</v>
      </c>
      <c r="I98" s="6" t="e">
        <f t="shared" si="11"/>
        <v>#VALUE!</v>
      </c>
      <c r="J98" s="6" t="e">
        <f t="shared" si="12"/>
        <v>#VALUE!</v>
      </c>
      <c r="K98" s="6" t="e">
        <f t="shared" si="13"/>
        <v>#VALUE!</v>
      </c>
      <c r="L98" s="4"/>
      <c r="M98" s="4"/>
      <c r="N98" s="4"/>
    </row>
    <row r="99" spans="1:14">
      <c r="A99" s="4">
        <v>98</v>
      </c>
      <c r="B99" s="12"/>
      <c r="C99" s="5"/>
      <c r="D99" s="4" t="e">
        <f t="array" ref="D99">SUM(VALUE(SUBSTITUTE(_xlfn.TEXTAFTER(_xlfn.TEXTSPLIT(C99,CHAR(10)),"-",-1),"km","")))</f>
        <v>#VALUE!</v>
      </c>
      <c r="E99" s="4">
        <f t="shared" si="14"/>
        <v>140</v>
      </c>
      <c r="F99" s="6" t="e">
        <f t="shared" si="8"/>
        <v>#VALUE!</v>
      </c>
      <c r="G99" s="6" t="e">
        <f t="shared" si="9"/>
        <v>#VALUE!</v>
      </c>
      <c r="H99" s="6" t="e">
        <f t="shared" si="10"/>
        <v>#VALUE!</v>
      </c>
      <c r="I99" s="6" t="e">
        <f t="shared" si="11"/>
        <v>#VALUE!</v>
      </c>
      <c r="J99" s="6" t="e">
        <f t="shared" si="12"/>
        <v>#VALUE!</v>
      </c>
      <c r="K99" s="6" t="e">
        <f t="shared" si="13"/>
        <v>#VALUE!</v>
      </c>
      <c r="L99" s="4"/>
      <c r="M99" s="4"/>
      <c r="N99" s="4"/>
    </row>
    <row r="100" spans="1:14">
      <c r="A100" s="4">
        <v>99</v>
      </c>
      <c r="B100" s="12"/>
      <c r="C100" s="5"/>
      <c r="D100" s="4" t="e">
        <f t="array" ref="D100">SUM(VALUE(SUBSTITUTE(_xlfn.TEXTAFTER(_xlfn.TEXTSPLIT(C100,CHAR(10)),"-",-1),"km","")))</f>
        <v>#VALUE!</v>
      </c>
      <c r="E100" s="4">
        <f t="shared" si="14"/>
        <v>140</v>
      </c>
      <c r="F100" s="6" t="e">
        <f t="shared" si="8"/>
        <v>#VALUE!</v>
      </c>
      <c r="G100" s="6" t="e">
        <f t="shared" si="9"/>
        <v>#VALUE!</v>
      </c>
      <c r="H100" s="6" t="e">
        <f t="shared" si="10"/>
        <v>#VALUE!</v>
      </c>
      <c r="I100" s="6" t="e">
        <f t="shared" si="11"/>
        <v>#VALUE!</v>
      </c>
      <c r="J100" s="6" t="e">
        <f t="shared" si="12"/>
        <v>#VALUE!</v>
      </c>
      <c r="K100" s="6" t="e">
        <f t="shared" si="13"/>
        <v>#VALUE!</v>
      </c>
      <c r="L100" s="4"/>
      <c r="M100" s="4"/>
      <c r="N100" s="4"/>
    </row>
    <row r="101" spans="1:14">
      <c r="A101" s="4">
        <v>100</v>
      </c>
      <c r="B101" s="7"/>
      <c r="C101" s="5"/>
      <c r="D101" s="4" t="e">
        <f t="array" ref="D101">SUM(VALUE(SUBSTITUTE(_xlfn.TEXTAFTER(_xlfn.TEXTSPLIT(C101,CHAR(10)),"-",-1),"km","")))</f>
        <v>#VALUE!</v>
      </c>
      <c r="E101" s="4">
        <f t="shared" si="14"/>
        <v>140</v>
      </c>
      <c r="F101" s="6" t="e">
        <f t="shared" si="8"/>
        <v>#VALUE!</v>
      </c>
      <c r="G101" s="6" t="e">
        <f t="shared" si="9"/>
        <v>#VALUE!</v>
      </c>
      <c r="H101" s="6" t="e">
        <f t="shared" si="10"/>
        <v>#VALUE!</v>
      </c>
      <c r="I101" s="6" t="e">
        <f t="shared" si="11"/>
        <v>#VALUE!</v>
      </c>
      <c r="J101" s="6" t="e">
        <f t="shared" si="12"/>
        <v>#VALUE!</v>
      </c>
      <c r="K101" s="6" t="e">
        <f t="shared" si="13"/>
        <v>#VALUE!</v>
      </c>
      <c r="L101" s="4"/>
      <c r="M101" s="4"/>
      <c r="N101" s="4"/>
    </row>
    <row r="102" spans="1:14">
      <c r="A102" s="4">
        <v>101</v>
      </c>
      <c r="B102" s="7"/>
      <c r="C102" s="5"/>
      <c r="D102" s="4" t="e">
        <f t="array" ref="D102">SUM(VALUE(SUBSTITUTE(_xlfn.TEXTAFTER(_xlfn.TEXTSPLIT(C102,CHAR(10)),"-",-1),"km","")))</f>
        <v>#VALUE!</v>
      </c>
      <c r="E102" s="4">
        <f t="shared" si="14"/>
        <v>140</v>
      </c>
      <c r="F102" s="6" t="e">
        <f t="shared" si="8"/>
        <v>#VALUE!</v>
      </c>
      <c r="G102" s="6" t="e">
        <f t="shared" si="9"/>
        <v>#VALUE!</v>
      </c>
      <c r="H102" s="6" t="e">
        <f t="shared" si="10"/>
        <v>#VALUE!</v>
      </c>
      <c r="I102" s="6" t="e">
        <f t="shared" si="11"/>
        <v>#VALUE!</v>
      </c>
      <c r="J102" s="6" t="e">
        <f t="shared" si="12"/>
        <v>#VALUE!</v>
      </c>
      <c r="K102" s="6" t="e">
        <f t="shared" si="13"/>
        <v>#VALUE!</v>
      </c>
      <c r="L102" s="4"/>
      <c r="M102" s="4"/>
      <c r="N102" s="4"/>
    </row>
    <row r="103" spans="1:14">
      <c r="A103" s="4">
        <v>102</v>
      </c>
      <c r="B103" s="7"/>
      <c r="C103" s="5"/>
      <c r="D103" s="4" t="e">
        <f t="array" ref="D103">SUM(VALUE(SUBSTITUTE(_xlfn.TEXTAFTER(_xlfn.TEXTSPLIT(C103,CHAR(10)),"-",-1),"km","")))</f>
        <v>#VALUE!</v>
      </c>
      <c r="E103" s="4">
        <f t="shared" si="14"/>
        <v>140</v>
      </c>
      <c r="F103" s="6" t="e">
        <f t="shared" si="8"/>
        <v>#VALUE!</v>
      </c>
      <c r="G103" s="6" t="e">
        <f t="shared" si="9"/>
        <v>#VALUE!</v>
      </c>
      <c r="H103" s="6" t="e">
        <f t="shared" si="10"/>
        <v>#VALUE!</v>
      </c>
      <c r="I103" s="6" t="e">
        <f t="shared" si="11"/>
        <v>#VALUE!</v>
      </c>
      <c r="J103" s="6" t="e">
        <f t="shared" si="12"/>
        <v>#VALUE!</v>
      </c>
      <c r="K103" s="6" t="e">
        <f t="shared" si="13"/>
        <v>#VALUE!</v>
      </c>
      <c r="L103" s="4"/>
      <c r="M103" s="4"/>
      <c r="N103" s="4"/>
    </row>
    <row r="104" spans="1:14">
      <c r="A104" s="4">
        <v>103</v>
      </c>
      <c r="B104" s="7"/>
      <c r="C104" s="5"/>
      <c r="D104" s="4" t="e">
        <f t="array" ref="D104">SUM(VALUE(SUBSTITUTE(_xlfn.TEXTAFTER(_xlfn.TEXTSPLIT(C104,CHAR(10)),"-",-1),"km","")))</f>
        <v>#VALUE!</v>
      </c>
      <c r="E104" s="4">
        <f t="shared" si="14"/>
        <v>140</v>
      </c>
      <c r="F104" s="6" t="e">
        <f t="shared" si="8"/>
        <v>#VALUE!</v>
      </c>
      <c r="G104" s="6" t="e">
        <f t="shared" si="9"/>
        <v>#VALUE!</v>
      </c>
      <c r="H104" s="6" t="e">
        <f t="shared" si="10"/>
        <v>#VALUE!</v>
      </c>
      <c r="I104" s="6" t="e">
        <f t="shared" si="11"/>
        <v>#VALUE!</v>
      </c>
      <c r="J104" s="6" t="e">
        <f t="shared" si="12"/>
        <v>#VALUE!</v>
      </c>
      <c r="K104" s="6" t="e">
        <f t="shared" si="13"/>
        <v>#VALUE!</v>
      </c>
      <c r="L104" s="4"/>
      <c r="M104" s="4"/>
      <c r="N104" s="4"/>
    </row>
    <row r="105" spans="1:14">
      <c r="A105" s="4">
        <v>104</v>
      </c>
      <c r="B105" s="7"/>
      <c r="C105" s="5"/>
      <c r="D105" s="4" t="e">
        <f t="array" ref="D105">SUM(VALUE(SUBSTITUTE(_xlfn.TEXTAFTER(_xlfn.TEXTSPLIT(C105,CHAR(10)),"-",-1),"km","")))</f>
        <v>#VALUE!</v>
      </c>
      <c r="E105" s="4">
        <f t="shared" si="14"/>
        <v>140</v>
      </c>
      <c r="F105" s="6" t="e">
        <f t="shared" si="8"/>
        <v>#VALUE!</v>
      </c>
      <c r="G105" s="6" t="e">
        <f t="shared" si="9"/>
        <v>#VALUE!</v>
      </c>
      <c r="H105" s="6" t="e">
        <f t="shared" si="10"/>
        <v>#VALUE!</v>
      </c>
      <c r="I105" s="6" t="e">
        <f t="shared" si="11"/>
        <v>#VALUE!</v>
      </c>
      <c r="J105" s="6" t="e">
        <f t="shared" si="12"/>
        <v>#VALUE!</v>
      </c>
      <c r="K105" s="6" t="e">
        <f t="shared" si="13"/>
        <v>#VALUE!</v>
      </c>
      <c r="L105" s="4"/>
      <c r="M105" s="4"/>
      <c r="N105" s="4"/>
    </row>
    <row r="106" spans="1:14">
      <c r="A106" s="4">
        <v>105</v>
      </c>
      <c r="B106" s="7"/>
      <c r="C106" s="5"/>
      <c r="D106" s="4" t="e">
        <f t="array" ref="D106">SUM(VALUE(SUBSTITUTE(_xlfn.TEXTAFTER(_xlfn.TEXTSPLIT(C106,CHAR(10)),"-",-1),"km","")))</f>
        <v>#VALUE!</v>
      </c>
      <c r="E106" s="4">
        <f t="shared" si="14"/>
        <v>140</v>
      </c>
      <c r="F106" s="6" t="e">
        <f t="shared" si="8"/>
        <v>#VALUE!</v>
      </c>
      <c r="G106" s="6" t="e">
        <f t="shared" si="9"/>
        <v>#VALUE!</v>
      </c>
      <c r="H106" s="6" t="e">
        <f t="shared" si="10"/>
        <v>#VALUE!</v>
      </c>
      <c r="I106" s="6" t="e">
        <f t="shared" si="11"/>
        <v>#VALUE!</v>
      </c>
      <c r="J106" s="6" t="e">
        <f t="shared" si="12"/>
        <v>#VALUE!</v>
      </c>
      <c r="K106" s="6" t="e">
        <f t="shared" si="13"/>
        <v>#VALUE!</v>
      </c>
      <c r="L106" s="4"/>
      <c r="M106" s="4"/>
      <c r="N106" s="4"/>
    </row>
    <row r="107" spans="1:14">
      <c r="A107" s="4">
        <v>106</v>
      </c>
      <c r="B107" s="7"/>
      <c r="C107" s="5"/>
      <c r="D107" s="4" t="e">
        <f t="array" ref="D107">SUM(VALUE(SUBSTITUTE(_xlfn.TEXTAFTER(_xlfn.TEXTSPLIT(C107,CHAR(10)),"-",-1),"km","")))</f>
        <v>#VALUE!</v>
      </c>
      <c r="E107" s="4">
        <f t="shared" si="14"/>
        <v>140</v>
      </c>
      <c r="F107" s="6" t="e">
        <f t="shared" si="8"/>
        <v>#VALUE!</v>
      </c>
      <c r="G107" s="6" t="e">
        <f t="shared" si="9"/>
        <v>#VALUE!</v>
      </c>
      <c r="H107" s="6" t="e">
        <f t="shared" si="10"/>
        <v>#VALUE!</v>
      </c>
      <c r="I107" s="6" t="e">
        <f t="shared" si="11"/>
        <v>#VALUE!</v>
      </c>
      <c r="J107" s="6" t="e">
        <f t="shared" si="12"/>
        <v>#VALUE!</v>
      </c>
      <c r="K107" s="6" t="e">
        <f t="shared" si="13"/>
        <v>#VALUE!</v>
      </c>
      <c r="L107" s="4"/>
      <c r="M107" s="4"/>
      <c r="N107" s="4"/>
    </row>
    <row r="108" spans="1:14">
      <c r="A108" s="4">
        <v>107</v>
      </c>
      <c r="B108" s="7"/>
      <c r="C108" s="5"/>
      <c r="D108" s="4" t="e">
        <f t="array" ref="D108">SUM(VALUE(SUBSTITUTE(_xlfn.TEXTAFTER(_xlfn.TEXTSPLIT(C108,CHAR(10)),"-",-1),"km","")))</f>
        <v>#VALUE!</v>
      </c>
      <c r="E108" s="4">
        <f t="shared" si="14"/>
        <v>140</v>
      </c>
      <c r="F108" s="6" t="e">
        <f t="shared" si="8"/>
        <v>#VALUE!</v>
      </c>
      <c r="G108" s="6" t="e">
        <f t="shared" si="9"/>
        <v>#VALUE!</v>
      </c>
      <c r="H108" s="6" t="e">
        <f t="shared" si="10"/>
        <v>#VALUE!</v>
      </c>
      <c r="I108" s="6" t="e">
        <f t="shared" si="11"/>
        <v>#VALUE!</v>
      </c>
      <c r="J108" s="6" t="e">
        <f t="shared" si="12"/>
        <v>#VALUE!</v>
      </c>
      <c r="K108" s="6" t="e">
        <f t="shared" si="13"/>
        <v>#VALUE!</v>
      </c>
      <c r="L108" s="4"/>
      <c r="M108" s="4"/>
      <c r="N108" s="4"/>
    </row>
    <row r="109" spans="1:14">
      <c r="A109" s="4">
        <v>108</v>
      </c>
      <c r="B109" s="7"/>
      <c r="C109" s="5"/>
      <c r="D109" s="4" t="e">
        <f t="array" ref="D109">SUM(VALUE(SUBSTITUTE(_xlfn.TEXTAFTER(_xlfn.TEXTSPLIT(C109,CHAR(10)),"-",-1),"km","")))</f>
        <v>#VALUE!</v>
      </c>
      <c r="E109" s="4">
        <f t="shared" si="14"/>
        <v>140</v>
      </c>
      <c r="F109" s="6" t="e">
        <f t="shared" si="8"/>
        <v>#VALUE!</v>
      </c>
      <c r="G109" s="6" t="e">
        <f t="shared" si="9"/>
        <v>#VALUE!</v>
      </c>
      <c r="H109" s="6" t="e">
        <f t="shared" si="10"/>
        <v>#VALUE!</v>
      </c>
      <c r="I109" s="6" t="e">
        <f t="shared" si="11"/>
        <v>#VALUE!</v>
      </c>
      <c r="J109" s="6" t="e">
        <f t="shared" si="12"/>
        <v>#VALUE!</v>
      </c>
      <c r="K109" s="6" t="e">
        <f t="shared" si="13"/>
        <v>#VALUE!</v>
      </c>
      <c r="L109" s="4"/>
      <c r="M109" s="4"/>
      <c r="N109" s="4"/>
    </row>
    <row r="110" spans="1:14">
      <c r="A110" s="4">
        <v>109</v>
      </c>
      <c r="B110" s="7"/>
      <c r="C110" s="5"/>
      <c r="D110" s="4" t="e">
        <f t="array" ref="D110">SUM(VALUE(SUBSTITUTE(_xlfn.TEXTAFTER(_xlfn.TEXTSPLIT(C110,CHAR(10)),"-",-1),"km","")))</f>
        <v>#VALUE!</v>
      </c>
      <c r="E110" s="4">
        <f t="shared" si="14"/>
        <v>140</v>
      </c>
      <c r="F110" s="6" t="e">
        <f t="shared" si="8"/>
        <v>#VALUE!</v>
      </c>
      <c r="G110" s="6" t="e">
        <f t="shared" si="9"/>
        <v>#VALUE!</v>
      </c>
      <c r="H110" s="6" t="e">
        <f t="shared" si="10"/>
        <v>#VALUE!</v>
      </c>
      <c r="I110" s="6" t="e">
        <f t="shared" si="11"/>
        <v>#VALUE!</v>
      </c>
      <c r="J110" s="6" t="e">
        <f t="shared" si="12"/>
        <v>#VALUE!</v>
      </c>
      <c r="K110" s="6" t="e">
        <f t="shared" si="13"/>
        <v>#VALUE!</v>
      </c>
      <c r="L110" s="4"/>
      <c r="M110" s="4"/>
      <c r="N110" s="4"/>
    </row>
    <row r="111" spans="1:14">
      <c r="A111" s="4">
        <v>110</v>
      </c>
      <c r="B111" s="7"/>
      <c r="C111" s="5"/>
      <c r="D111" s="4" t="e">
        <f t="array" ref="D111">SUM(VALUE(SUBSTITUTE(_xlfn.TEXTAFTER(_xlfn.TEXTSPLIT(C111,CHAR(10)),"-",-1),"km","")))</f>
        <v>#VALUE!</v>
      </c>
      <c r="E111" s="4">
        <f t="shared" si="14"/>
        <v>140</v>
      </c>
      <c r="F111" s="6" t="e">
        <f t="shared" si="8"/>
        <v>#VALUE!</v>
      </c>
      <c r="G111" s="6" t="e">
        <f t="shared" si="9"/>
        <v>#VALUE!</v>
      </c>
      <c r="H111" s="6" t="e">
        <f t="shared" si="10"/>
        <v>#VALUE!</v>
      </c>
      <c r="I111" s="6" t="e">
        <f t="shared" si="11"/>
        <v>#VALUE!</v>
      </c>
      <c r="J111" s="6" t="e">
        <f t="shared" si="12"/>
        <v>#VALUE!</v>
      </c>
      <c r="K111" s="6" t="e">
        <f t="shared" si="13"/>
        <v>#VALUE!</v>
      </c>
      <c r="L111" s="4"/>
      <c r="M111" s="4"/>
      <c r="N111" s="4"/>
    </row>
    <row r="112" spans="1:14">
      <c r="A112" s="4">
        <v>111</v>
      </c>
      <c r="B112" s="7"/>
      <c r="C112" s="5"/>
      <c r="D112" s="4" t="e">
        <f t="array" ref="D112">SUM(VALUE(SUBSTITUTE(_xlfn.TEXTAFTER(_xlfn.TEXTSPLIT(C112,CHAR(10)),"-",-1),"km","")))</f>
        <v>#VALUE!</v>
      </c>
      <c r="E112" s="4">
        <f t="shared" si="14"/>
        <v>140</v>
      </c>
      <c r="F112" s="6" t="e">
        <f t="shared" si="8"/>
        <v>#VALUE!</v>
      </c>
      <c r="G112" s="6" t="e">
        <f t="shared" si="9"/>
        <v>#VALUE!</v>
      </c>
      <c r="H112" s="6" t="e">
        <f t="shared" si="10"/>
        <v>#VALUE!</v>
      </c>
      <c r="I112" s="6" t="e">
        <f t="shared" si="11"/>
        <v>#VALUE!</v>
      </c>
      <c r="J112" s="6" t="e">
        <f t="shared" si="12"/>
        <v>#VALUE!</v>
      </c>
      <c r="K112" s="6" t="e">
        <f t="shared" si="13"/>
        <v>#VALUE!</v>
      </c>
      <c r="L112" s="4"/>
      <c r="M112" s="4"/>
      <c r="N112" s="4"/>
    </row>
  </sheetData>
  <autoFilter xmlns:etc="http://www.wps.cn/officeDocument/2017/etCustomData" ref="A1:R112" etc:filterBottomFollowUsedRange="0">
    <extLst/>
  </autoFilter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(3)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luming</cp:lastModifiedBy>
  <dcterms:created xsi:type="dcterms:W3CDTF">2025-07-02T04:54:00Z</dcterms:created>
  <dcterms:modified xsi:type="dcterms:W3CDTF">2026-02-06T16:57:25Z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1263BB466D954EEBBED23AB7628A6C61_13</vt:lpwstr>
  </property>
  <property fmtid="{D5CDD505-2E9C-101B-9397-08002B2CF9AE}" pid="3" name="KSOProductBuildVer">
    <vt:lpwstr>2052-12.1.25195.25195</vt:lpwstr>
  </property>
  <property fmtid="{D5CDD505-2E9C-101B-9397-08002B2CF9AE}" pid="4" name="CalculationRule">
    <vt:i4>0</vt:i4>
  </property>
</Properties>
</file>