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<sst xmlns="http://schemas.openxmlformats.org/spreadsheetml/2006/main" count="208" uniqueCount="101">
  <si>
    <t>日期</t>
  </si>
  <si>
    <t>区域</t>
  </si>
  <si>
    <t>门店</t>
  </si>
  <si>
    <t>公里数</t>
  </si>
  <si>
    <t>单价</t>
  </si>
  <si>
    <t>运费</t>
  </si>
  <si>
    <t>备注</t>
  </si>
  <si>
    <t>外阜</t>
  </si>
  <si>
    <t>六安舒城店-98，（六安霍山店）-72，（岳西木冲巷店）-80，（潜山皖潜大道店）-47，安庆潜山店-2，安庆太湖店-40</t>
  </si>
  <si>
    <t>六安舒城店-98，合肥庐江店-48，安庆桐城店-52，（枞阳渡江路店）-60，安徽池州店-99，（池州双溪路店）-6，（青阳庙前路店）-37</t>
  </si>
  <si>
    <t>安庆怀宁店-167，安庆师范大学店-25，安庆宜秀店-16，安庆吾悦店-10，（东至县环城西路店）-59，（安庆望江大道店）-47</t>
  </si>
  <si>
    <t>（徐州和平大道店）-329，（徐州新城区店）-2，徐州贾汪吾悦广场店-35，（徐州中信巷店）-15，徐州沛县店-81，（徐州周昌路店）-4，徐州丰县店-38</t>
  </si>
  <si>
    <t>（泗县富康路店）-235，徐州睢宁店-52，（邳州长江路店）-76，徐州新沂店-40，徐州新沂2店-3</t>
  </si>
  <si>
    <t>六安市金寨店-149，（金寨石船巷路店）-2，（六安观山路店）-17</t>
  </si>
  <si>
    <t>（金安区三十铺镇长江东路店）-86，六安幸福里店-10，六安御景湾店-12，六安城南店-11</t>
  </si>
  <si>
    <t>（舒城杭埠镇店）-92，合肥庐江店-37，安庆桐城店-52，（枞阳渡江路店）-60，安徽池州店-99，（池州双溪路店）-6，（青阳庙前路店）-37</t>
  </si>
  <si>
    <t>（舒城杭埠镇店）-92，（六安霍山店）-97，（岳西木冲巷店）-80，（潜山皖潜大道店）-47，安庆潜山店-2，安庆太湖店-40，（安庆宿松县店）-50</t>
  </si>
  <si>
    <t>（怀宁孔雀路店）-186，安庆怀宁店-2，安庆师范大学店-25，安庆宜秀店-16，安庆吾悦店-10，（东至县环城西路店）-59，（安庆望江大道店）-47</t>
  </si>
  <si>
    <t>（凤阳洪武西路店）-155，（蚌埠山香路店）-26，（蚌埠朝阳路店）-7，（蚌埠奋进路店）-5，（蚌埠淮上大道店）-4，（怀远榴城路店）-15，蚌埠怀远店-3</t>
  </si>
  <si>
    <t>宿州泗县东方明珠店-238，徐州睢宁店-54，（邳州青年路店）-76，（邳州长江路店）-5，徐州新沂店-40</t>
  </si>
  <si>
    <t>（徐州和平大道店）-329，徐州贾汪吾悦广场店-36，（徐州中信巷店）-15，徐州沛县店-81，（徐州周昌路店）-4，徐州丰县店-38</t>
  </si>
  <si>
    <t>六安幸福里店-96，六安御景湾店-12，六安城南店-11，（金寨石船巷路店）-73，（六安观山路店）-17</t>
  </si>
  <si>
    <t>（蚌埠山香路店）-152，（蚌埠奋进路店）-8，蚌埠龙子湖店-5，蚌埠淮上风情街店-6，（蚌埠淮上大道店）-3，蚌埠怀远店-26</t>
  </si>
  <si>
    <t>（舒城杭埠镇店）-92，（六安霍山店）-97，（岳西木冲巷店）-80，安庆潜山店-49，安庆怀宁店-29</t>
  </si>
  <si>
    <t>（潜山皖潜大道店）-192，安庆太湖店-38，（安庆宿松县店）-50，（安庆望江大道店）-75，（东至县环城西路店）-46</t>
  </si>
  <si>
    <t>（怀宁孔雀路店）-186，安庆师范大学店-35，安庆宜秀店-16，安庆吾悦店-10</t>
  </si>
  <si>
    <t>合肥庐江店-120，安庆桐城店-52，（枞阳渡江路店）-60，铜陵枞阳天城上府店-5，（池州双溪路店）-55</t>
  </si>
  <si>
    <t>安徽池州店-190，（青阳庙前路店）-43，池州青阳店-2</t>
  </si>
  <si>
    <t>（徐州和平大道店）-329，（徐州站南路店）-8，徐州贾汪吾悦广场店-32，（徐州中信巷店）-15，徐州沛县店-81，（徐州周昌路店）-4，徐州丰县店-38</t>
  </si>
  <si>
    <t>（蚌埠山香路店）-152，蚌埠市蚌山区二中店-6，（蚌埠朝阳路店）-3，（蚌埠奋进路店）-5，（蚌埠淮上大道店）-4，（怀远榴城路店）-15，蚌埠怀远店-3</t>
  </si>
  <si>
    <t>（泗县富康路店）-235，宿州泗县东方明珠店-3，徐州睢宁店-54，（邳州长江路店）-76，徐州新沂店-40，徐州新沂2店-3</t>
  </si>
  <si>
    <t>（金安区三十铺镇长江东路店）-86，六安御景湾店-22，六安市金寨店-68，（金寨石船巷路店）-2，（六安观山路店）-17</t>
  </si>
  <si>
    <t>六安幸福里店-96，六安城南店-12，（六安霍山店）-43，（岳西木冲巷店）-80，（潜山皖潜大道店）-47，安庆潜山店-2</t>
  </si>
  <si>
    <t>（舒城杭埠镇店）-92，合肥庐江店-37，池州青阳店-108，（青阳庙前路店）-2，（池州双溪路店）-44，安徽池州店-7</t>
  </si>
  <si>
    <t>安庆怀宁店-167，安庆太湖店-62，（安庆宿松县店）-50，（安庆望江大道店）-75，（东至县环城西路店）-46</t>
  </si>
  <si>
    <t>六安舒城店-98，安庆桐城店-55，（枞阳渡江路店）-60，安庆师范大学店-36，安庆宜秀店-66，安庆吾悦店-10</t>
  </si>
  <si>
    <t>（五河淮河路店）-179，（泗县富康路店）-47，宿州泗县东方明珠店-3，徐州睢宁店-54，（邳州青年路店）-76，徐州新沂店-42，徐州新沂2店-3</t>
  </si>
  <si>
    <t>（徐州新城区店）-330，（徐州站南路店）-6，徐州贾汪吾悦广场店-32，（徐州中信巷店）-15，徐州沛县店-81，（徐州周昌路店）-4，徐州丰县店-38</t>
  </si>
  <si>
    <t>（蚌埠山香路店）-152，蚌埠市蚌山区二中店-6，（蚌埠朝阳路店）-3，（蚌埠奋进路店）-5，蚌埠龙子湖店-5，蚌埠淮上风情街店-6，（蚌埠淮上大道店）-3，蚌埠怀远店-26</t>
  </si>
  <si>
    <t>（金安区三十铺镇长江东路店）-86，六安幸福里店-10，六安御景湾店-12，六安城南店-11，（六安观山路店）-66</t>
  </si>
  <si>
    <t>（舒城杭埠镇店）-92，安庆师范大学店-122，安庆宜秀店-16，安庆吾悦店-10，（东至县环城西路店）-59，（安庆望江大道店）-47</t>
  </si>
  <si>
    <t>（舒城杭埠镇店）-92，六安舒城店-28，安庆桐城店-55，（怀宁孔雀路店）-41，安庆怀宁店-2</t>
  </si>
  <si>
    <t>（岳西木冲巷店）-221，安庆潜山店-49，（潜山皖潜大道店）-2，安庆太湖店-88，（安庆宿松县店）-50</t>
  </si>
  <si>
    <t>合肥庐江店-120，（青阳庙前路店）-106，（池州双溪路店）-44，安徽池州店-7，铜陵枞阳天城上府店-32，（枞阳渡江路店）-5</t>
  </si>
  <si>
    <t>（徐州站南路店）-352，徐州贾汪吾悦广场店-32，（徐州中信巷店）-15，徐州沛县店-81，（徐州周昌路店）-4，徐州丰县店-38</t>
  </si>
  <si>
    <t>（蚌埠奋进路店）-152，蚌埠龙子湖店-5，蚌埠淮上风情街店-6，（蚌埠淮上大道店）-3，（怀远榴城路店）-15，蚌埠怀远店-3</t>
  </si>
  <si>
    <t>六安舒城店-98，（六安霍山店）-72，（岳西木冲巷店）-80，（潜山皖潜大道店）-47，（安庆望江大道店）-69，（东至县环城西路店）-46</t>
  </si>
  <si>
    <t>合肥庐江店-120，安庆桐城店-52，安庆师范大学店-59，安庆宜秀店-16，安庆吾悦店-10</t>
  </si>
  <si>
    <t>铜陵吾悦广场店-180，（铜陵顺安镇店）-11，（青阳庙前路店）-46，（枞阳渡江路店）-77，安徽池州店-99，（池州双溪路店）-6</t>
  </si>
  <si>
    <t>（徐州站南路店）-352，（徐州中信巷店）-30，徐州贾汪吾悦广场店-15，（邳州青年路店）-82，（邳州长江路店）-5，徐州新沂2店-38，徐州新沂店-3</t>
  </si>
  <si>
    <t>（徐州苏堤路店）-344，（徐州祥和路店）-7，（徐州平山南路店）-5，徐州沛县店-61，（徐州周昌路店）-4，徐州丰县店-38</t>
  </si>
  <si>
    <t>（蚌埠山香路店）-152，（蚌埠奋进路店）-8，蚌埠龙子湖店-5，蚌埠淮上风情街店-6，（蚌埠淮上大道店）-3，（怀远榴城路店）-15，蚌埠怀远店-3</t>
  </si>
  <si>
    <t>（舒城杭埠镇店）-92，六安舒城店-28，（六安霍山店）-72，（岳西木冲巷店）-80，（潜山皖潜大道店）-47，安庆潜山店-2</t>
  </si>
  <si>
    <t>合肥庐江店-120，（怀宁孔雀路店）-86，安庆太湖店-63，（安庆宿松县店）-50，（安庆望江大道店）-75，（东至县环城西路店）-46</t>
  </si>
  <si>
    <t>合肥庐江店-120，安庆桐城店-52，安庆怀宁店-42，安庆师范大学店-25，安庆宜秀店-16，安庆吾悦店-10</t>
  </si>
  <si>
    <t>（枞阳渡江路店）-163，安徽池州店-99，（池州双溪路店）-6，（青阳庙前路店）-37，池州青阳店-2</t>
  </si>
  <si>
    <t>（金安区三十铺镇长江东路店）-86，六安幸福里店-10，六安城南店-12</t>
  </si>
  <si>
    <t>六安御景湾店-98，六安市金寨店-68，（金寨石船巷路店）-2，（六安观山路店）-17</t>
  </si>
  <si>
    <t>（凤阳洪武西路店）-155，徐州睢宁店-176，（邳州青年路店）-76，（邳州长江路店）-5，徐州新沂店-40，徐州新沂2店-3</t>
  </si>
  <si>
    <t>（蚌埠山香路店）-152，蚌埠市蚌山区二中店-6，（蚌埠朝阳路店）-3，（蚌埠奋进路店）-5，蚌埠淮上风情街店-7，（蚌埠淮上大道店）-3，蚌埠怀远店-26</t>
  </si>
  <si>
    <t>（潜山皖潜大道店）-192，安庆潜山店-2，（安庆宿松县店）-81，安庆太湖店-44</t>
  </si>
  <si>
    <t>（金安区三十铺镇长江东路店）-86，六安御景湾店-22，（六安霍山店）-53，（岳西木冲巷店）-80</t>
  </si>
  <si>
    <t>（枞阳渡江路店）-163，铜陵枞阳天城上府店-5，安徽池州店-34，（池州双溪路店）-6，（青阳庙前路店）-37</t>
  </si>
  <si>
    <t>（怀宁孔雀路店）-186，安庆师范大学店-35，安庆宜秀店-16，安庆吾悦店-10，（东至县环城西路店）-59</t>
  </si>
  <si>
    <t>（舒城杭埠镇店）-92，合肥庐江店-37，安庆桐城店-52，安庆怀宁店-42</t>
  </si>
  <si>
    <t>六安幸福里店-96，六安城南店-12，（金寨石船巷路店）-73，（六安观山路店）-17</t>
  </si>
  <si>
    <t>徐州睢宁店-309，（邳州青年路店）-76，（邳州长江路店）-5，徐州新沂2店-38，徐州新沂店-3</t>
  </si>
  <si>
    <t>（蚌埠山香路店）-152，蚌埠市蚌山区二中店-6，（蚌埠朝阳路店）-3，（蚌埠奋进路店）-5，蚌埠宝龙店-4，（怀远榴城路店）-21，蚌埠怀远店-3</t>
  </si>
  <si>
    <t>六安舒城店-98，（六安霍山店）-72，（岳西木冲巷店）-80，（潜山皖潜大道店）-47</t>
  </si>
  <si>
    <t>安庆师范大学店-180，安庆宜秀店-16，安庆吾悦店-10，（东至县环城西路店）-59，（安庆望江大道店）-47</t>
  </si>
  <si>
    <t>合肥庐江店-120，安庆桐城店-52，（枞阳渡江路店）-60，安徽池州店-99，（池州双溪路店）-6，（青阳庙前路店）-37，池州青阳店-2</t>
  </si>
  <si>
    <t>六安幸福里店-96，六安御景湾店-12，（六安霍山店）-53，（岳西木冲巷店）-80，（潜山皖潜大道店）-47</t>
  </si>
  <si>
    <t>六安舒城店-98，安庆潜山店-129，安庆太湖店-40，（安庆宿松县店）-50，（安庆望江大道店）-75，（东至县环城西路店）-46</t>
  </si>
  <si>
    <t>六安舒城店-98，安庆桐城店-55，（枞阳渡江路店）-60，安徽池州店-99，（池州双溪路店）-6，（青阳庙前路店）-37，池州青阳店-2</t>
  </si>
  <si>
    <t>（金安区三十铺镇长江东路店）-86，六安城南店-18，（金寨石船巷路店）-73，（六安观山路店）-17</t>
  </si>
  <si>
    <t>合肥庐江店-120，（怀宁孔雀路店）-86，安庆怀宁店-2，安庆师范大学店-25，安庆宜秀店-16，安庆吾悦店-10</t>
  </si>
  <si>
    <t>（徐州新城区店）-330，徐州沛县店-80，（徐州周昌路店）-4，徐州丰县店-38</t>
  </si>
  <si>
    <t>徐州睢宁店-309，（徐州和平大道店）-83，（徐州站南路店）-8，徐州贾汪吾悦广场店-32，（徐州中信巷店）-15</t>
  </si>
  <si>
    <t>（蚌埠山香路店）-152，蚌埠市蚌山区二中店-6，（蚌埠朝阳路店）-3，蚌埠宝龙店-6，蚌埠龙子湖店-5，蚌埠淮上风情街店-6，（蚌埠淮上大道店）-3</t>
  </si>
  <si>
    <t>（舒城杭埠镇店）-92，合肥庐江店-37，（怀宁孔雀路店）-86，安庆怀宁店-2，安庆潜山店-33</t>
  </si>
  <si>
    <t>六安舒城店-98，（六安霍山店）-72，（金寨石船巷路店）-78，（六安观山路店）-17</t>
  </si>
  <si>
    <t>（岳西木冲巷店）-221，（潜山皖潜大道店）-47，安庆太湖店-38，（安庆宿松县店）-50</t>
  </si>
  <si>
    <t>安庆师范大学店-180，安庆宜秀店-16，安庆吾悦店-10，（东至县环城西路店）-59</t>
  </si>
  <si>
    <t>安庆桐城店-127，（枞阳渡江路店）-60，铜陵枞阳天城上府店-5，安徽池州店-34，（池州双溪路店）-6</t>
  </si>
  <si>
    <t>铜陵吾悦广场店-180，（铜陵北湖街店）-7，（青阳庙前路店）-49，池州青阳店-2</t>
  </si>
  <si>
    <t>（蚌埠奋进路店）-152，（蚌埠山香路店）-8，蚌埠市蚌山区二中店-6，（蚌埠朝阳路店）-3，（怀远榴城路店）-21，蚌埠怀远店-3</t>
  </si>
  <si>
    <t>池州青阳店-195，（青阳庙前路店）-2，（池州双溪路店）-44，安徽池州店-7，（枞阳渡江路店）-41</t>
  </si>
  <si>
    <t>（六安霍山店）-164，（岳西木冲巷店）-80，（潜山皖潜大道店）-47，（安庆望江大道店）-69，（东至县环城西路店）-46</t>
  </si>
  <si>
    <t>六安舒城店-98，合肥庐江店-48，安庆桐城店-52，安庆师范大学店-59，安庆宜秀店-16，安庆吾悦店-10</t>
  </si>
  <si>
    <t>（蚌埠山香路店）-152，蚌埠市蚌山区二中店-6，（蚌埠朝阳路店）-3，（蚌埠奋进路店）-5，（蚌埠淮上大道店）-4，蚌埠淮上风情街店-3</t>
  </si>
  <si>
    <t>（舒城杭埠镇店）-92，六安舒城店-28，（六安霍山店）-72，（岳西木冲巷店）-80，安庆潜山店-49</t>
  </si>
  <si>
    <t>（怀宁孔雀路店）-186，安庆怀宁店-2，安庆师范大学店-25，安庆宜秀店-16，安庆吾悦店-10</t>
  </si>
  <si>
    <t>合肥庐江店-120，安庆桐城店-52，（枞阳渡江路店）-60，安徽池州店-99，（池州双溪路店）-6，（青阳庙前路店）-37</t>
  </si>
  <si>
    <t>六安御景湾店-98，六安城南店-11，（金寨石船巷路店）-73，（六安观山路店）-17</t>
  </si>
  <si>
    <t>（淮南炎刘镇店）-55，（金安区三十铺镇长江东路店）-50，六安幸福里店-10</t>
  </si>
  <si>
    <t>徐州睢宁店-309，徐州贾汪吾悦广场店-102，（徐州中信巷店）-15，徐州沛县店-81，（徐州周昌路店）-4，徐州丰县店-38</t>
  </si>
  <si>
    <t>徐州睢宁店-309，（邳州青年路店）-76，（邳州长江路店）-5，徐州新沂店-40，徐州新沂2店-3</t>
  </si>
  <si>
    <t>（蚌埠山香路店）-152，蚌埠市蚌山区二中店-6，（蚌埠朝阳路店）-3，蚌埠宝龙店-6，（蚌埠奋进路店）-4，蚌埠龙子湖店-5，蚌埠淮上风情街店-6，（蚌埠淮上大道店）-3</t>
  </si>
  <si>
    <t>汇总</t>
  </si>
  <si>
    <t>扣款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</si>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</sst>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58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176" fontId="5" fillId="0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tabSelected="1" workbookViewId="0">
      <selection activeCell="A1" sqref="$A1:$XFD1048576"/>
    </sheetView>
  </sheetViews>
  <sheetFormatPr defaultColWidth="8.88888888888889" defaultRowHeight="14.4" outlineLevelCol="6"/>
  <cols>
    <col min="1" max="1" width="9.88888888888889" style="1" customWidth="1"/>
    <col min="2" max="2" width="8.88888888888889" style="1"/>
    <col min="3" max="3" width="136.111111111111" style="1" customWidth="1"/>
    <col min="4" max="5" width="8.88888888888889" style="1"/>
    <col min="6" max="6" width="13.1111111111111" style="1"/>
    <col min="7" max="16384" width="8.88888888888889" style="1"/>
  </cols>
  <sheetData>
    <row r="1" ht="25" customHeight="1" spans="1:7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ht="25" customHeight="1" spans="1:7">
      <c r="A2" s="5">
        <v>45992</v>
      </c>
      <c r="B2" s="6" t="s">
        <v>7</v>
      </c>
      <c r="C2" s="6" t="s">
        <v>8</v>
      </c>
      <c r="D2" s="7">
        <f t="array" ref="D2">SUM(_xlfn.TEXTAFTER(_xlfn.TOCOL(_xlfn.TEXTSPLIT(C2,"，")),"-")*1)</f>
        <v>339</v>
      </c>
      <c r="E2" s="7">
        <f t="shared" ref="E2:E65" si="0">IF(D2&gt;300,3.9,IF(D2&gt;200,4,IF(D2&gt;=100,4.2,445)))</f>
        <v>3.9</v>
      </c>
      <c r="F2" s="7">
        <f t="shared" ref="F2:F65" si="1">IF(D2&gt;=100,D2*E2,445)</f>
        <v>1322.1</v>
      </c>
      <c r="G2" s="8"/>
    </row>
    <row r="3" ht="25" customHeight="1" spans="1:7">
      <c r="A3" s="5">
        <v>45992</v>
      </c>
      <c r="B3" s="6" t="s">
        <v>7</v>
      </c>
      <c r="C3" s="6" t="s">
        <v>9</v>
      </c>
      <c r="D3" s="7">
        <f t="array" ref="D3">SUM(_xlfn.TEXTAFTER(_xlfn.TOCOL(_xlfn.TEXTSPLIT(C3,"，")),"-")*1)</f>
        <v>400</v>
      </c>
      <c r="E3" s="7">
        <f t="shared" si="0"/>
        <v>3.9</v>
      </c>
      <c r="F3" s="7">
        <f t="shared" si="1"/>
        <v>1560</v>
      </c>
      <c r="G3" s="8"/>
    </row>
    <row r="4" ht="25" customHeight="1" spans="1:7">
      <c r="A4" s="5">
        <v>45992</v>
      </c>
      <c r="B4" s="6" t="s">
        <v>7</v>
      </c>
      <c r="C4" s="6" t="s">
        <v>10</v>
      </c>
      <c r="D4" s="7">
        <f t="array" ref="D4">SUM(_xlfn.TEXTAFTER(_xlfn.TOCOL(_xlfn.TEXTSPLIT(C4,"，")),"-")*1)</f>
        <v>324</v>
      </c>
      <c r="E4" s="7">
        <f t="shared" si="0"/>
        <v>3.9</v>
      </c>
      <c r="F4" s="7">
        <f t="shared" si="1"/>
        <v>1263.6</v>
      </c>
      <c r="G4" s="8"/>
    </row>
    <row r="5" ht="25" customHeight="1" spans="1:7">
      <c r="A5" s="9">
        <v>45993</v>
      </c>
      <c r="B5" s="10" t="s">
        <v>7</v>
      </c>
      <c r="C5" s="10" t="s">
        <v>11</v>
      </c>
      <c r="D5" s="11">
        <f t="array" ref="D5">SUM(_xlfn.TEXTAFTER(_xlfn.TOCOL(_xlfn.TEXTSPLIT(C5,"，")),"-")*1)</f>
        <v>504</v>
      </c>
      <c r="E5" s="11">
        <f t="shared" si="0"/>
        <v>3.9</v>
      </c>
      <c r="F5" s="7">
        <f t="shared" si="1"/>
        <v>1965.6</v>
      </c>
      <c r="G5" s="8"/>
    </row>
    <row r="6" ht="25" customHeight="1" spans="1:7">
      <c r="A6" s="9">
        <v>45993</v>
      </c>
      <c r="B6" s="10" t="s">
        <v>7</v>
      </c>
      <c r="C6" s="10" t="s">
        <v>12</v>
      </c>
      <c r="D6" s="11">
        <f t="array" ref="D6">SUM(_xlfn.TEXTAFTER(_xlfn.TOCOL(_xlfn.TEXTSPLIT(C6,"，")),"-")*1)</f>
        <v>406</v>
      </c>
      <c r="E6" s="11">
        <f t="shared" si="0"/>
        <v>3.9</v>
      </c>
      <c r="F6" s="7">
        <f t="shared" si="1"/>
        <v>1583.4</v>
      </c>
      <c r="G6" s="8"/>
    </row>
    <row r="7" ht="25" customHeight="1" spans="1:7">
      <c r="A7" s="9">
        <v>45993</v>
      </c>
      <c r="B7" s="10" t="s">
        <v>7</v>
      </c>
      <c r="C7" s="10" t="s">
        <v>13</v>
      </c>
      <c r="D7" s="11">
        <f t="array" ref="D7">SUM(_xlfn.TEXTAFTER(_xlfn.TOCOL(_xlfn.TEXTSPLIT(C7,"，")),"-")*1)</f>
        <v>168</v>
      </c>
      <c r="E7" s="11">
        <f t="shared" si="0"/>
        <v>4.2</v>
      </c>
      <c r="F7" s="7">
        <f t="shared" si="1"/>
        <v>705.6</v>
      </c>
      <c r="G7" s="8"/>
    </row>
    <row r="8" ht="25" customHeight="1" spans="1:7">
      <c r="A8" s="9">
        <v>45993</v>
      </c>
      <c r="B8" s="10" t="s">
        <v>7</v>
      </c>
      <c r="C8" s="10" t="s">
        <v>14</v>
      </c>
      <c r="D8" s="11">
        <f t="array" ref="D8">SUM(_xlfn.TEXTAFTER(_xlfn.TOCOL(_xlfn.TEXTSPLIT(C8,"，")),"-")*1)</f>
        <v>119</v>
      </c>
      <c r="E8" s="11">
        <f t="shared" si="0"/>
        <v>4.2</v>
      </c>
      <c r="F8" s="7">
        <f t="shared" si="1"/>
        <v>499.8</v>
      </c>
      <c r="G8" s="8"/>
    </row>
    <row r="9" ht="25" customHeight="1" spans="1:7">
      <c r="A9" s="5">
        <v>45994</v>
      </c>
      <c r="B9" s="6" t="s">
        <v>7</v>
      </c>
      <c r="C9" s="6" t="s">
        <v>15</v>
      </c>
      <c r="D9" s="7">
        <f t="array" ref="D9">SUM(_xlfn.TEXTAFTER(_xlfn.TOCOL(_xlfn.TEXTSPLIT(C9,"，")),"-")*1)</f>
        <v>383</v>
      </c>
      <c r="E9" s="7">
        <f t="shared" si="0"/>
        <v>3.9</v>
      </c>
      <c r="F9" s="7">
        <f t="shared" si="1"/>
        <v>1493.7</v>
      </c>
      <c r="G9" s="8"/>
    </row>
    <row r="10" ht="25" customHeight="1" spans="1:7">
      <c r="A10" s="5">
        <v>45994</v>
      </c>
      <c r="B10" s="6" t="s">
        <v>7</v>
      </c>
      <c r="C10" s="6" t="s">
        <v>16</v>
      </c>
      <c r="D10" s="7">
        <f t="array" ref="D10">SUM(_xlfn.TEXTAFTER(_xlfn.TOCOL(_xlfn.TEXTSPLIT(C10,"，")),"-")*1)</f>
        <v>408</v>
      </c>
      <c r="E10" s="7">
        <f t="shared" si="0"/>
        <v>3.9</v>
      </c>
      <c r="F10" s="7">
        <f t="shared" si="1"/>
        <v>1591.2</v>
      </c>
      <c r="G10" s="8"/>
    </row>
    <row r="11" ht="25" customHeight="1" spans="1:7">
      <c r="A11" s="5">
        <v>45994</v>
      </c>
      <c r="B11" s="6" t="s">
        <v>7</v>
      </c>
      <c r="C11" s="6" t="s">
        <v>17</v>
      </c>
      <c r="D11" s="7">
        <f t="array" ref="D11">SUM(_xlfn.TEXTAFTER(_xlfn.TOCOL(_xlfn.TEXTSPLIT(C11,"，")),"-")*1)</f>
        <v>345</v>
      </c>
      <c r="E11" s="7">
        <f t="shared" si="0"/>
        <v>3.9</v>
      </c>
      <c r="F11" s="7">
        <f t="shared" si="1"/>
        <v>1345.5</v>
      </c>
      <c r="G11" s="8"/>
    </row>
    <row r="12" ht="25" customHeight="1" spans="1:7">
      <c r="A12" s="5">
        <v>45994</v>
      </c>
      <c r="B12" s="6" t="s">
        <v>7</v>
      </c>
      <c r="C12" s="6" t="s">
        <v>18</v>
      </c>
      <c r="D12" s="7">
        <f t="array" ref="D12">SUM(_xlfn.TEXTAFTER(_xlfn.TOCOL(_xlfn.TEXTSPLIT(C12,"，")),"-")*1)</f>
        <v>215</v>
      </c>
      <c r="E12" s="7">
        <f t="shared" si="0"/>
        <v>4</v>
      </c>
      <c r="F12" s="7">
        <f t="shared" si="1"/>
        <v>860</v>
      </c>
      <c r="G12" s="8"/>
    </row>
    <row r="13" ht="25" customHeight="1" spans="1:7">
      <c r="A13" s="9">
        <v>45996</v>
      </c>
      <c r="B13" s="10" t="s">
        <v>7</v>
      </c>
      <c r="C13" s="10" t="s">
        <v>19</v>
      </c>
      <c r="D13" s="11">
        <f t="array" ref="D13">SUM(_xlfn.TEXTAFTER(_xlfn.TOCOL(_xlfn.TEXTSPLIT(C13,"，")),"-")*1)</f>
        <v>413</v>
      </c>
      <c r="E13" s="11">
        <f t="shared" si="0"/>
        <v>3.9</v>
      </c>
      <c r="F13" s="7">
        <f t="shared" si="1"/>
        <v>1610.7</v>
      </c>
      <c r="G13" s="8"/>
    </row>
    <row r="14" ht="25" customHeight="1" spans="1:7">
      <c r="A14" s="9">
        <v>45996</v>
      </c>
      <c r="B14" s="10" t="s">
        <v>7</v>
      </c>
      <c r="C14" s="10" t="s">
        <v>20</v>
      </c>
      <c r="D14" s="11">
        <f t="array" ref="D14">SUM(_xlfn.TEXTAFTER(_xlfn.TOCOL(_xlfn.TEXTSPLIT(C14,"，")),"-")*1)</f>
        <v>503</v>
      </c>
      <c r="E14" s="11">
        <f t="shared" si="0"/>
        <v>3.9</v>
      </c>
      <c r="F14" s="7">
        <f t="shared" si="1"/>
        <v>1961.7</v>
      </c>
      <c r="G14" s="8"/>
    </row>
    <row r="15" ht="25" customHeight="1" spans="1:7">
      <c r="A15" s="9">
        <v>45996</v>
      </c>
      <c r="B15" s="10" t="s">
        <v>7</v>
      </c>
      <c r="C15" s="10" t="s">
        <v>21</v>
      </c>
      <c r="D15" s="11">
        <f t="array" ref="D15">SUM(_xlfn.TEXTAFTER(_xlfn.TOCOL(_xlfn.TEXTSPLIT(C15,"，")),"-")*1)</f>
        <v>209</v>
      </c>
      <c r="E15" s="11">
        <f t="shared" si="0"/>
        <v>4</v>
      </c>
      <c r="F15" s="7">
        <f t="shared" si="1"/>
        <v>836</v>
      </c>
      <c r="G15" s="8"/>
    </row>
    <row r="16" ht="25" customHeight="1" spans="1:7">
      <c r="A16" s="9">
        <v>45996</v>
      </c>
      <c r="B16" s="10" t="s">
        <v>7</v>
      </c>
      <c r="C16" s="10" t="s">
        <v>22</v>
      </c>
      <c r="D16" s="11">
        <f t="array" ref="D16">SUM(_xlfn.TEXTAFTER(_xlfn.TOCOL(_xlfn.TEXTSPLIT(C16,"，")),"-")*1)</f>
        <v>200</v>
      </c>
      <c r="E16" s="11">
        <f t="shared" si="0"/>
        <v>4.2</v>
      </c>
      <c r="F16" s="7">
        <f t="shared" si="1"/>
        <v>840</v>
      </c>
      <c r="G16" s="8"/>
    </row>
    <row r="17" ht="25" customHeight="1" spans="1:7">
      <c r="A17" s="5">
        <v>45997</v>
      </c>
      <c r="B17" s="6" t="s">
        <v>7</v>
      </c>
      <c r="C17" s="6" t="s">
        <v>23</v>
      </c>
      <c r="D17" s="7">
        <f t="array" ref="D17">SUM(_xlfn.TEXTAFTER(_xlfn.TOCOL(_xlfn.TEXTSPLIT(C17,"，")),"-")*1)</f>
        <v>347</v>
      </c>
      <c r="E17" s="7">
        <f t="shared" si="0"/>
        <v>3.9</v>
      </c>
      <c r="F17" s="7">
        <f t="shared" si="1"/>
        <v>1353.3</v>
      </c>
      <c r="G17" s="8"/>
    </row>
    <row r="18" ht="25" customHeight="1" spans="1:7">
      <c r="A18" s="5">
        <v>45997</v>
      </c>
      <c r="B18" s="6" t="s">
        <v>7</v>
      </c>
      <c r="C18" s="6" t="s">
        <v>24</v>
      </c>
      <c r="D18" s="7">
        <f t="array" ref="D18">SUM(_xlfn.TEXTAFTER(_xlfn.TOCOL(_xlfn.TEXTSPLIT(C18,"，")),"-")*1)</f>
        <v>401</v>
      </c>
      <c r="E18" s="7">
        <f t="shared" si="0"/>
        <v>3.9</v>
      </c>
      <c r="F18" s="7">
        <f t="shared" si="1"/>
        <v>1563.9</v>
      </c>
      <c r="G18" s="8"/>
    </row>
    <row r="19" ht="25" customHeight="1" spans="1:7">
      <c r="A19" s="5">
        <v>45997</v>
      </c>
      <c r="B19" s="6" t="s">
        <v>7</v>
      </c>
      <c r="C19" s="6" t="s">
        <v>25</v>
      </c>
      <c r="D19" s="7">
        <f t="array" ref="D19">SUM(_xlfn.TEXTAFTER(_xlfn.TOCOL(_xlfn.TEXTSPLIT(C19,"，")),"-")*1)</f>
        <v>247</v>
      </c>
      <c r="E19" s="7">
        <f t="shared" si="0"/>
        <v>4</v>
      </c>
      <c r="F19" s="7">
        <f t="shared" si="1"/>
        <v>988</v>
      </c>
      <c r="G19" s="8"/>
    </row>
    <row r="20" ht="25" customHeight="1" spans="1:7">
      <c r="A20" s="5">
        <v>45997</v>
      </c>
      <c r="B20" s="6" t="s">
        <v>7</v>
      </c>
      <c r="C20" s="6" t="s">
        <v>26</v>
      </c>
      <c r="D20" s="7">
        <f t="array" ref="D20">SUM(_xlfn.TEXTAFTER(_xlfn.TOCOL(_xlfn.TEXTSPLIT(C20,"，")),"-")*1)</f>
        <v>292</v>
      </c>
      <c r="E20" s="7">
        <f t="shared" si="0"/>
        <v>4</v>
      </c>
      <c r="F20" s="7">
        <f t="shared" si="1"/>
        <v>1168</v>
      </c>
      <c r="G20" s="8"/>
    </row>
    <row r="21" ht="25" customHeight="1" spans="1:7">
      <c r="A21" s="5">
        <v>45997</v>
      </c>
      <c r="B21" s="6" t="s">
        <v>7</v>
      </c>
      <c r="C21" s="6" t="s">
        <v>27</v>
      </c>
      <c r="D21" s="7">
        <f t="array" ref="D21">SUM(_xlfn.TEXTAFTER(_xlfn.TOCOL(_xlfn.TEXTSPLIT(C21,"，")),"-")*1)</f>
        <v>235</v>
      </c>
      <c r="E21" s="7">
        <f t="shared" si="0"/>
        <v>4</v>
      </c>
      <c r="F21" s="7">
        <f t="shared" si="1"/>
        <v>940</v>
      </c>
      <c r="G21" s="8"/>
    </row>
    <row r="22" ht="25" customHeight="1" spans="1:7">
      <c r="A22" s="9">
        <v>45998</v>
      </c>
      <c r="B22" s="10" t="s">
        <v>7</v>
      </c>
      <c r="C22" s="10" t="s">
        <v>28</v>
      </c>
      <c r="D22" s="11">
        <f t="array" ref="D22">SUM(_xlfn.TEXTAFTER(_xlfn.TOCOL(_xlfn.TEXTSPLIT(C22,"，")),"-")*1)</f>
        <v>507</v>
      </c>
      <c r="E22" s="11">
        <f t="shared" si="0"/>
        <v>3.9</v>
      </c>
      <c r="F22" s="7">
        <f t="shared" si="1"/>
        <v>1977.3</v>
      </c>
      <c r="G22" s="8"/>
    </row>
    <row r="23" ht="25" customHeight="1" spans="1:7">
      <c r="A23" s="9">
        <v>45998</v>
      </c>
      <c r="B23" s="10" t="s">
        <v>7</v>
      </c>
      <c r="C23" s="10" t="s">
        <v>29</v>
      </c>
      <c r="D23" s="11">
        <f t="array" ref="D23">SUM(_xlfn.TEXTAFTER(_xlfn.TOCOL(_xlfn.TEXTSPLIT(C23,"，")),"-")*1)</f>
        <v>188</v>
      </c>
      <c r="E23" s="11">
        <f t="shared" si="0"/>
        <v>4.2</v>
      </c>
      <c r="F23" s="7">
        <f t="shared" si="1"/>
        <v>789.6</v>
      </c>
      <c r="G23" s="8"/>
    </row>
    <row r="24" ht="25" customHeight="1" spans="1:7">
      <c r="A24" s="9">
        <v>45998</v>
      </c>
      <c r="B24" s="10" t="s">
        <v>7</v>
      </c>
      <c r="C24" s="10" t="s">
        <v>30</v>
      </c>
      <c r="D24" s="11">
        <f t="array" ref="D24">SUM(_xlfn.TEXTAFTER(_xlfn.TOCOL(_xlfn.TEXTSPLIT(C24,"，")),"-")*1)</f>
        <v>411</v>
      </c>
      <c r="E24" s="11">
        <f t="shared" si="0"/>
        <v>3.9</v>
      </c>
      <c r="F24" s="7">
        <f t="shared" si="1"/>
        <v>1602.9</v>
      </c>
      <c r="G24" s="8"/>
    </row>
    <row r="25" ht="25" customHeight="1" spans="1:7">
      <c r="A25" s="5">
        <v>45999</v>
      </c>
      <c r="B25" s="6" t="s">
        <v>7</v>
      </c>
      <c r="C25" s="6" t="s">
        <v>31</v>
      </c>
      <c r="D25" s="7">
        <f t="array" ref="D25">SUM(_xlfn.TEXTAFTER(_xlfn.TOCOL(_xlfn.TEXTSPLIT(C25,"，")),"-")*1)</f>
        <v>195</v>
      </c>
      <c r="E25" s="7">
        <f t="shared" si="0"/>
        <v>4.2</v>
      </c>
      <c r="F25" s="7">
        <f t="shared" si="1"/>
        <v>819</v>
      </c>
      <c r="G25" s="8"/>
    </row>
    <row r="26" ht="25" customHeight="1" spans="1:7">
      <c r="A26" s="5">
        <v>45999</v>
      </c>
      <c r="B26" s="6" t="s">
        <v>7</v>
      </c>
      <c r="C26" s="6" t="s">
        <v>32</v>
      </c>
      <c r="D26" s="7">
        <f t="array" ref="D26">SUM(_xlfn.TEXTAFTER(_xlfn.TOCOL(_xlfn.TEXTSPLIT(C26,"，")),"-")*1)</f>
        <v>280</v>
      </c>
      <c r="E26" s="7">
        <f t="shared" si="0"/>
        <v>4</v>
      </c>
      <c r="F26" s="7">
        <f t="shared" si="1"/>
        <v>1120</v>
      </c>
      <c r="G26" s="8"/>
    </row>
    <row r="27" ht="25" customHeight="1" spans="1:7">
      <c r="A27" s="5">
        <v>45999</v>
      </c>
      <c r="B27" s="6" t="s">
        <v>7</v>
      </c>
      <c r="C27" s="6" t="s">
        <v>33</v>
      </c>
      <c r="D27" s="7">
        <f t="array" ref="D27">SUM(_xlfn.TEXTAFTER(_xlfn.TOCOL(_xlfn.TEXTSPLIT(C27,"，")),"-")*1)</f>
        <v>290</v>
      </c>
      <c r="E27" s="7">
        <f t="shared" si="0"/>
        <v>4</v>
      </c>
      <c r="F27" s="7">
        <f t="shared" si="1"/>
        <v>1160</v>
      </c>
      <c r="G27" s="8"/>
    </row>
    <row r="28" ht="25" customHeight="1" spans="1:7">
      <c r="A28" s="5">
        <v>45999</v>
      </c>
      <c r="B28" s="6" t="s">
        <v>7</v>
      </c>
      <c r="C28" s="6" t="s">
        <v>34</v>
      </c>
      <c r="D28" s="7">
        <f t="array" ref="D28">SUM(_xlfn.TEXTAFTER(_xlfn.TOCOL(_xlfn.TEXTSPLIT(C28,"，")),"-")*1)</f>
        <v>400</v>
      </c>
      <c r="E28" s="7">
        <f t="shared" si="0"/>
        <v>3.9</v>
      </c>
      <c r="F28" s="7">
        <f t="shared" si="1"/>
        <v>1560</v>
      </c>
      <c r="G28" s="8"/>
    </row>
    <row r="29" ht="25" customHeight="1" spans="1:7">
      <c r="A29" s="5">
        <v>45999</v>
      </c>
      <c r="B29" s="6" t="s">
        <v>7</v>
      </c>
      <c r="C29" s="6" t="s">
        <v>35</v>
      </c>
      <c r="D29" s="7">
        <f t="array" ref="D29">SUM(_xlfn.TEXTAFTER(_xlfn.TOCOL(_xlfn.TEXTSPLIT(C29,"，")),"-")*1)</f>
        <v>325</v>
      </c>
      <c r="E29" s="7">
        <f t="shared" si="0"/>
        <v>3.9</v>
      </c>
      <c r="F29" s="7">
        <f t="shared" si="1"/>
        <v>1267.5</v>
      </c>
      <c r="G29" s="8"/>
    </row>
    <row r="30" ht="25" customHeight="1" spans="1:7">
      <c r="A30" s="9">
        <v>46000</v>
      </c>
      <c r="B30" s="10" t="s">
        <v>7</v>
      </c>
      <c r="C30" s="10" t="s">
        <v>36</v>
      </c>
      <c r="D30" s="11">
        <f t="array" ref="D30">SUM(_xlfn.TEXTAFTER(_xlfn.TOCOL(_xlfn.TEXTSPLIT(C30,"，")),"-")*1)</f>
        <v>404</v>
      </c>
      <c r="E30" s="11">
        <f t="shared" si="0"/>
        <v>3.9</v>
      </c>
      <c r="F30" s="7">
        <f t="shared" si="1"/>
        <v>1575.6</v>
      </c>
      <c r="G30" s="8"/>
    </row>
    <row r="31" ht="25" customHeight="1" spans="1:7">
      <c r="A31" s="9">
        <v>46000</v>
      </c>
      <c r="B31" s="10" t="s">
        <v>7</v>
      </c>
      <c r="C31" s="10" t="s">
        <v>37</v>
      </c>
      <c r="D31" s="11">
        <f t="array" ref="D31">SUM(_xlfn.TEXTAFTER(_xlfn.TOCOL(_xlfn.TEXTSPLIT(C31,"，")),"-")*1)</f>
        <v>506</v>
      </c>
      <c r="E31" s="11">
        <f t="shared" si="0"/>
        <v>3.9</v>
      </c>
      <c r="F31" s="7">
        <f t="shared" si="1"/>
        <v>1973.4</v>
      </c>
      <c r="G31" s="8"/>
    </row>
    <row r="32" ht="25" customHeight="1" spans="1:7">
      <c r="A32" s="9">
        <v>46000</v>
      </c>
      <c r="B32" s="10" t="s">
        <v>7</v>
      </c>
      <c r="C32" s="12" t="s">
        <v>38</v>
      </c>
      <c r="D32" s="11">
        <f t="array" ref="D32">SUM(_xlfn.TEXTAFTER(_xlfn.TOCOL(_xlfn.TEXTSPLIT(C32,"，")),"-")*1)</f>
        <v>206</v>
      </c>
      <c r="E32" s="11">
        <f t="shared" si="0"/>
        <v>4</v>
      </c>
      <c r="F32" s="7">
        <f t="shared" si="1"/>
        <v>824</v>
      </c>
      <c r="G32" s="8"/>
    </row>
    <row r="33" ht="25" customHeight="1" spans="1:7">
      <c r="A33" s="5">
        <v>46002</v>
      </c>
      <c r="B33" s="6" t="s">
        <v>7</v>
      </c>
      <c r="C33" s="6" t="s">
        <v>39</v>
      </c>
      <c r="D33" s="7">
        <f t="array" ref="D33">SUM(_xlfn.TEXTAFTER(_xlfn.TOCOL(_xlfn.TEXTSPLIT(C33,"，")),"-")*1)</f>
        <v>185</v>
      </c>
      <c r="E33" s="7">
        <f t="shared" si="0"/>
        <v>4.2</v>
      </c>
      <c r="F33" s="7">
        <f t="shared" si="1"/>
        <v>777</v>
      </c>
      <c r="G33" s="8"/>
    </row>
    <row r="34" ht="25" customHeight="1" spans="1:7">
      <c r="A34" s="5">
        <v>46002</v>
      </c>
      <c r="B34" s="6" t="s">
        <v>7</v>
      </c>
      <c r="C34" s="6" t="s">
        <v>40</v>
      </c>
      <c r="D34" s="7">
        <f t="array" ref="D34">SUM(_xlfn.TEXTAFTER(_xlfn.TOCOL(_xlfn.TEXTSPLIT(C34,"，")),"-")*1)</f>
        <v>346</v>
      </c>
      <c r="E34" s="7">
        <f t="shared" si="0"/>
        <v>3.9</v>
      </c>
      <c r="F34" s="7">
        <f t="shared" si="1"/>
        <v>1349.4</v>
      </c>
      <c r="G34" s="8"/>
    </row>
    <row r="35" ht="25" customHeight="1" spans="1:7">
      <c r="A35" s="5">
        <v>46002</v>
      </c>
      <c r="B35" s="6" t="s">
        <v>7</v>
      </c>
      <c r="C35" s="6" t="s">
        <v>41</v>
      </c>
      <c r="D35" s="7">
        <f t="array" ref="D35">SUM(_xlfn.TEXTAFTER(_xlfn.TOCOL(_xlfn.TEXTSPLIT(C35,"，")),"-")*1)</f>
        <v>218</v>
      </c>
      <c r="E35" s="7">
        <f t="shared" si="0"/>
        <v>4</v>
      </c>
      <c r="F35" s="7">
        <f t="shared" si="1"/>
        <v>872</v>
      </c>
      <c r="G35" s="8"/>
    </row>
    <row r="36" ht="25" customHeight="1" spans="1:7">
      <c r="A36" s="5">
        <v>46002</v>
      </c>
      <c r="B36" s="6" t="s">
        <v>7</v>
      </c>
      <c r="C36" s="6" t="s">
        <v>42</v>
      </c>
      <c r="D36" s="7">
        <f t="array" ref="D36">SUM(_xlfn.TEXTAFTER(_xlfn.TOCOL(_xlfn.TEXTSPLIT(C36,"，")),"-")*1)</f>
        <v>410</v>
      </c>
      <c r="E36" s="7">
        <f t="shared" si="0"/>
        <v>3.9</v>
      </c>
      <c r="F36" s="7">
        <f t="shared" si="1"/>
        <v>1599</v>
      </c>
      <c r="G36" s="8"/>
    </row>
    <row r="37" ht="25" customHeight="1" spans="1:7">
      <c r="A37" s="5">
        <v>46002</v>
      </c>
      <c r="B37" s="6" t="s">
        <v>7</v>
      </c>
      <c r="C37" s="6" t="s">
        <v>43</v>
      </c>
      <c r="D37" s="7">
        <f t="array" ref="D37">SUM(_xlfn.TEXTAFTER(_xlfn.TOCOL(_xlfn.TEXTSPLIT(C37,"，")),"-")*1)</f>
        <v>314</v>
      </c>
      <c r="E37" s="7">
        <f t="shared" si="0"/>
        <v>3.9</v>
      </c>
      <c r="F37" s="7">
        <f t="shared" si="1"/>
        <v>1224.6</v>
      </c>
      <c r="G37" s="8"/>
    </row>
    <row r="38" ht="25" customHeight="1" spans="1:7">
      <c r="A38" s="9">
        <v>46003</v>
      </c>
      <c r="B38" s="10" t="s">
        <v>7</v>
      </c>
      <c r="C38" s="10" t="s">
        <v>12</v>
      </c>
      <c r="D38" s="11">
        <f t="array" ref="D38">SUM(_xlfn.TEXTAFTER(_xlfn.TOCOL(_xlfn.TEXTSPLIT(C38,"，")),"-")*1)</f>
        <v>406</v>
      </c>
      <c r="E38" s="11">
        <f t="shared" si="0"/>
        <v>3.9</v>
      </c>
      <c r="F38" s="7">
        <f t="shared" si="1"/>
        <v>1583.4</v>
      </c>
      <c r="G38" s="8"/>
    </row>
    <row r="39" ht="25" customHeight="1" spans="1:7">
      <c r="A39" s="9">
        <v>46003</v>
      </c>
      <c r="B39" s="10" t="s">
        <v>7</v>
      </c>
      <c r="C39" s="10" t="s">
        <v>44</v>
      </c>
      <c r="D39" s="11">
        <f t="array" ref="D39">SUM(_xlfn.TEXTAFTER(_xlfn.TOCOL(_xlfn.TEXTSPLIT(C39,"，")),"-")*1)</f>
        <v>522</v>
      </c>
      <c r="E39" s="11">
        <f t="shared" si="0"/>
        <v>3.9</v>
      </c>
      <c r="F39" s="7">
        <f t="shared" si="1"/>
        <v>2035.8</v>
      </c>
      <c r="G39" s="8"/>
    </row>
    <row r="40" ht="25" customHeight="1" spans="1:7">
      <c r="A40" s="9">
        <v>46003</v>
      </c>
      <c r="B40" s="10" t="s">
        <v>7</v>
      </c>
      <c r="C40" s="10" t="s">
        <v>45</v>
      </c>
      <c r="D40" s="11">
        <f t="array" ref="D40">SUM(_xlfn.TEXTAFTER(_xlfn.TOCOL(_xlfn.TEXTSPLIT(C40,"，")),"-")*1)</f>
        <v>184</v>
      </c>
      <c r="E40" s="11">
        <f t="shared" si="0"/>
        <v>4.2</v>
      </c>
      <c r="F40" s="7">
        <f t="shared" si="1"/>
        <v>772.8</v>
      </c>
      <c r="G40" s="8"/>
    </row>
    <row r="41" ht="25" customHeight="1" spans="1:7">
      <c r="A41" s="5">
        <v>46004</v>
      </c>
      <c r="B41" s="6" t="s">
        <v>7</v>
      </c>
      <c r="C41" s="6" t="s">
        <v>46</v>
      </c>
      <c r="D41" s="7">
        <f t="array" ref="D41">SUM(_xlfn.TEXTAFTER(_xlfn.TOCOL(_xlfn.TEXTSPLIT(C41,"，")),"-")*1)</f>
        <v>412</v>
      </c>
      <c r="E41" s="7">
        <f t="shared" si="0"/>
        <v>3.9</v>
      </c>
      <c r="F41" s="7">
        <f t="shared" si="1"/>
        <v>1606.8</v>
      </c>
      <c r="G41" s="8"/>
    </row>
    <row r="42" ht="25" customHeight="1" spans="1:7">
      <c r="A42" s="5">
        <v>46004</v>
      </c>
      <c r="B42" s="6" t="s">
        <v>7</v>
      </c>
      <c r="C42" s="6" t="s">
        <v>47</v>
      </c>
      <c r="D42" s="7">
        <f t="array" ref="D42">SUM(_xlfn.TEXTAFTER(_xlfn.TOCOL(_xlfn.TEXTSPLIT(C42,"，")),"-")*1)</f>
        <v>257</v>
      </c>
      <c r="E42" s="7">
        <f t="shared" si="0"/>
        <v>4</v>
      </c>
      <c r="F42" s="7">
        <f t="shared" si="1"/>
        <v>1028</v>
      </c>
      <c r="G42" s="8"/>
    </row>
    <row r="43" ht="25" customHeight="1" spans="1:7">
      <c r="A43" s="5">
        <v>46004</v>
      </c>
      <c r="B43" s="6" t="s">
        <v>7</v>
      </c>
      <c r="C43" s="6" t="s">
        <v>48</v>
      </c>
      <c r="D43" s="7">
        <f t="array" ref="D43">SUM(_xlfn.TEXTAFTER(_xlfn.TOCOL(_xlfn.TEXTSPLIT(C43,"，")),"-")*1)</f>
        <v>419</v>
      </c>
      <c r="E43" s="7">
        <f t="shared" si="0"/>
        <v>3.9</v>
      </c>
      <c r="F43" s="7">
        <f t="shared" si="1"/>
        <v>1634.1</v>
      </c>
      <c r="G43" s="8"/>
    </row>
    <row r="44" ht="25" customHeight="1" spans="1:7">
      <c r="A44" s="9">
        <v>46005</v>
      </c>
      <c r="B44" s="10" t="s">
        <v>7</v>
      </c>
      <c r="C44" s="10" t="s">
        <v>49</v>
      </c>
      <c r="D44" s="11">
        <f t="array" ref="D44">SUM(_xlfn.TEXTAFTER(_xlfn.TOCOL(_xlfn.TEXTSPLIT(C44,"，")),"-")*1)</f>
        <v>525</v>
      </c>
      <c r="E44" s="11">
        <f t="shared" si="0"/>
        <v>3.9</v>
      </c>
      <c r="F44" s="7">
        <f t="shared" si="1"/>
        <v>2047.5</v>
      </c>
      <c r="G44" s="8"/>
    </row>
    <row r="45" ht="25" customHeight="1" spans="1:7">
      <c r="A45" s="9">
        <v>46005</v>
      </c>
      <c r="B45" s="10" t="s">
        <v>7</v>
      </c>
      <c r="C45" s="10" t="s">
        <v>50</v>
      </c>
      <c r="D45" s="11">
        <f t="array" ref="D45">SUM(_xlfn.TEXTAFTER(_xlfn.TOCOL(_xlfn.TEXTSPLIT(C45,"，")),"-")*1)</f>
        <v>459</v>
      </c>
      <c r="E45" s="11">
        <f t="shared" si="0"/>
        <v>3.9</v>
      </c>
      <c r="F45" s="7">
        <f t="shared" si="1"/>
        <v>1790.1</v>
      </c>
      <c r="G45" s="8"/>
    </row>
    <row r="46" ht="25" customHeight="1" spans="1:7">
      <c r="A46" s="9">
        <v>46005</v>
      </c>
      <c r="B46" s="10" t="s">
        <v>7</v>
      </c>
      <c r="C46" s="10" t="s">
        <v>51</v>
      </c>
      <c r="D46" s="11">
        <f t="array" ref="D46">SUM(_xlfn.TEXTAFTER(_xlfn.TOCOL(_xlfn.TEXTSPLIT(C46,"，")),"-")*1)</f>
        <v>192</v>
      </c>
      <c r="E46" s="11">
        <f t="shared" si="0"/>
        <v>4.2</v>
      </c>
      <c r="F46" s="7">
        <f t="shared" si="1"/>
        <v>806.4</v>
      </c>
      <c r="G46" s="8"/>
    </row>
    <row r="47" ht="25" customHeight="1" spans="1:7">
      <c r="A47" s="5">
        <v>46006</v>
      </c>
      <c r="B47" s="6" t="s">
        <v>7</v>
      </c>
      <c r="C47" s="6" t="s">
        <v>52</v>
      </c>
      <c r="D47" s="7">
        <f t="array" ref="D47">SUM(_xlfn.TEXTAFTER(_xlfn.TOCOL(_xlfn.TEXTSPLIT(C47,"，")),"-")*1)</f>
        <v>321</v>
      </c>
      <c r="E47" s="7">
        <f t="shared" si="0"/>
        <v>3.9</v>
      </c>
      <c r="F47" s="7">
        <f t="shared" si="1"/>
        <v>1251.9</v>
      </c>
      <c r="G47" s="8"/>
    </row>
    <row r="48" ht="25" customHeight="1" spans="1:7">
      <c r="A48" s="5">
        <v>46006</v>
      </c>
      <c r="B48" s="6" t="s">
        <v>7</v>
      </c>
      <c r="C48" s="13" t="s">
        <v>53</v>
      </c>
      <c r="D48" s="7">
        <f t="array" ref="D48">SUM(_xlfn.TEXTAFTER(_xlfn.TOCOL(_xlfn.TEXTSPLIT(C48,"，")),"-")*1)</f>
        <v>440</v>
      </c>
      <c r="E48" s="7">
        <f t="shared" si="0"/>
        <v>3.9</v>
      </c>
      <c r="F48" s="7">
        <f t="shared" si="1"/>
        <v>1716</v>
      </c>
      <c r="G48" s="8"/>
    </row>
    <row r="49" ht="25" customHeight="1" spans="1:7">
      <c r="A49" s="5">
        <v>46006</v>
      </c>
      <c r="B49" s="6" t="s">
        <v>7</v>
      </c>
      <c r="C49" s="6" t="s">
        <v>54</v>
      </c>
      <c r="D49" s="7">
        <f t="array" ref="D49">SUM(_xlfn.TEXTAFTER(_xlfn.TOCOL(_xlfn.TEXTSPLIT(C49,"，")),"-")*1)</f>
        <v>265</v>
      </c>
      <c r="E49" s="7">
        <f t="shared" si="0"/>
        <v>4</v>
      </c>
      <c r="F49" s="7">
        <f t="shared" si="1"/>
        <v>1060</v>
      </c>
      <c r="G49" s="8"/>
    </row>
    <row r="50" ht="25" customHeight="1" spans="1:7">
      <c r="A50" s="5">
        <v>46006</v>
      </c>
      <c r="B50" s="6" t="s">
        <v>7</v>
      </c>
      <c r="C50" s="6" t="s">
        <v>55</v>
      </c>
      <c r="D50" s="7">
        <f t="array" ref="D50">SUM(_xlfn.TEXTAFTER(_xlfn.TOCOL(_xlfn.TEXTSPLIT(C50,"，")),"-")*1)</f>
        <v>307</v>
      </c>
      <c r="E50" s="7">
        <f t="shared" si="0"/>
        <v>3.9</v>
      </c>
      <c r="F50" s="7">
        <f t="shared" si="1"/>
        <v>1197.3</v>
      </c>
      <c r="G50" s="8"/>
    </row>
    <row r="51" ht="25" customHeight="1" spans="1:7">
      <c r="A51" s="5">
        <v>46006</v>
      </c>
      <c r="B51" s="6" t="s">
        <v>7</v>
      </c>
      <c r="C51" s="6" t="s">
        <v>56</v>
      </c>
      <c r="D51" s="7">
        <f t="array" ref="D51">SUM(_xlfn.TEXTAFTER(_xlfn.TOCOL(_xlfn.TEXTSPLIT(C51,"，")),"-")*1)</f>
        <v>108</v>
      </c>
      <c r="E51" s="7">
        <f t="shared" si="0"/>
        <v>4.2</v>
      </c>
      <c r="F51" s="7">
        <f t="shared" si="1"/>
        <v>453.6</v>
      </c>
      <c r="G51" s="8"/>
    </row>
    <row r="52" ht="25" customHeight="1" spans="1:7">
      <c r="A52" s="5">
        <v>46006</v>
      </c>
      <c r="B52" s="6" t="s">
        <v>7</v>
      </c>
      <c r="C52" s="6" t="s">
        <v>57</v>
      </c>
      <c r="D52" s="7">
        <f t="array" ref="D52">SUM(_xlfn.TEXTAFTER(_xlfn.TOCOL(_xlfn.TEXTSPLIT(C52,"，")),"-")*1)</f>
        <v>185</v>
      </c>
      <c r="E52" s="7">
        <f t="shared" si="0"/>
        <v>4.2</v>
      </c>
      <c r="F52" s="7">
        <f t="shared" si="1"/>
        <v>777</v>
      </c>
      <c r="G52" s="8"/>
    </row>
    <row r="53" ht="25" customHeight="1" spans="1:7">
      <c r="A53" s="9">
        <v>46007</v>
      </c>
      <c r="B53" s="10" t="s">
        <v>7</v>
      </c>
      <c r="C53" s="10" t="s">
        <v>37</v>
      </c>
      <c r="D53" s="11">
        <f t="array" ref="D53">SUM(_xlfn.TEXTAFTER(_xlfn.TOCOL(_xlfn.TEXTSPLIT(C53,"，")),"-")*1)</f>
        <v>506</v>
      </c>
      <c r="E53" s="11">
        <f t="shared" si="0"/>
        <v>3.9</v>
      </c>
      <c r="F53" s="7">
        <f t="shared" si="1"/>
        <v>1973.4</v>
      </c>
      <c r="G53" s="8"/>
    </row>
    <row r="54" ht="25" customHeight="1" spans="1:7">
      <c r="A54" s="9">
        <v>46007</v>
      </c>
      <c r="B54" s="10" t="s">
        <v>7</v>
      </c>
      <c r="C54" s="10" t="s">
        <v>58</v>
      </c>
      <c r="D54" s="11">
        <f t="array" ref="D54">SUM(_xlfn.TEXTAFTER(_xlfn.TOCOL(_xlfn.TEXTSPLIT(C54,"，")),"-")*1)</f>
        <v>455</v>
      </c>
      <c r="E54" s="11">
        <f t="shared" si="0"/>
        <v>3.9</v>
      </c>
      <c r="F54" s="7">
        <f t="shared" si="1"/>
        <v>1774.5</v>
      </c>
      <c r="G54" s="8"/>
    </row>
    <row r="55" ht="25" customHeight="1" spans="1:7">
      <c r="A55" s="9">
        <v>46007</v>
      </c>
      <c r="B55" s="10" t="s">
        <v>7</v>
      </c>
      <c r="C55" s="10" t="s">
        <v>59</v>
      </c>
      <c r="D55" s="11">
        <f t="array" ref="D55">SUM(_xlfn.TEXTAFTER(_xlfn.TOCOL(_xlfn.TEXTSPLIT(C55,"，")),"-")*1)</f>
        <v>202</v>
      </c>
      <c r="E55" s="11">
        <f t="shared" si="0"/>
        <v>4</v>
      </c>
      <c r="F55" s="7">
        <f t="shared" si="1"/>
        <v>808</v>
      </c>
      <c r="G55" s="8"/>
    </row>
    <row r="56" ht="25" customHeight="1" spans="1:7">
      <c r="A56" s="5">
        <v>46009</v>
      </c>
      <c r="B56" s="6" t="s">
        <v>7</v>
      </c>
      <c r="C56" s="6" t="s">
        <v>60</v>
      </c>
      <c r="D56" s="7">
        <f t="array" ref="D56">SUM(_xlfn.TEXTAFTER(_xlfn.TOCOL(_xlfn.TEXTSPLIT(C56,"，")),"-")*1)</f>
        <v>319</v>
      </c>
      <c r="E56" s="7">
        <f t="shared" si="0"/>
        <v>3.9</v>
      </c>
      <c r="F56" s="7">
        <f t="shared" si="1"/>
        <v>1244.1</v>
      </c>
      <c r="G56" s="8"/>
    </row>
    <row r="57" ht="25" customHeight="1" spans="1:7">
      <c r="A57" s="5">
        <v>46009</v>
      </c>
      <c r="B57" s="6" t="s">
        <v>7</v>
      </c>
      <c r="C57" s="6" t="s">
        <v>61</v>
      </c>
      <c r="D57" s="7">
        <f t="array" ref="D57">SUM(_xlfn.TEXTAFTER(_xlfn.TOCOL(_xlfn.TEXTSPLIT(C57,"，")),"-")*1)</f>
        <v>241</v>
      </c>
      <c r="E57" s="7">
        <f t="shared" si="0"/>
        <v>4</v>
      </c>
      <c r="F57" s="7">
        <f t="shared" si="1"/>
        <v>964</v>
      </c>
      <c r="G57" s="8"/>
    </row>
    <row r="58" ht="25" customHeight="1" spans="1:7">
      <c r="A58" s="5">
        <v>46009</v>
      </c>
      <c r="B58" s="6" t="s">
        <v>7</v>
      </c>
      <c r="C58" s="14" t="s">
        <v>62</v>
      </c>
      <c r="D58" s="7">
        <f t="array" ref="D58">SUM(_xlfn.TEXTAFTER(_xlfn.TOCOL(_xlfn.TEXTSPLIT(C58,"，")),"-")*1)</f>
        <v>245</v>
      </c>
      <c r="E58" s="7">
        <f t="shared" si="0"/>
        <v>4</v>
      </c>
      <c r="F58" s="7">
        <f t="shared" si="1"/>
        <v>980</v>
      </c>
      <c r="G58" s="8"/>
    </row>
    <row r="59" ht="25" customHeight="1" spans="1:7">
      <c r="A59" s="5">
        <v>46009</v>
      </c>
      <c r="B59" s="6" t="s">
        <v>7</v>
      </c>
      <c r="C59" s="6" t="s">
        <v>63</v>
      </c>
      <c r="D59" s="7">
        <f t="array" ref="D59">SUM(_xlfn.TEXTAFTER(_xlfn.TOCOL(_xlfn.TEXTSPLIT(C59,"，")),"-")*1)</f>
        <v>306</v>
      </c>
      <c r="E59" s="7">
        <f t="shared" si="0"/>
        <v>3.9</v>
      </c>
      <c r="F59" s="7">
        <f t="shared" si="1"/>
        <v>1193.4</v>
      </c>
      <c r="G59" s="8"/>
    </row>
    <row r="60" ht="25" customHeight="1" spans="1:7">
      <c r="A60" s="5">
        <v>46009</v>
      </c>
      <c r="B60" s="6" t="s">
        <v>7</v>
      </c>
      <c r="C60" s="14" t="s">
        <v>64</v>
      </c>
      <c r="D60" s="7">
        <f t="array" ref="D60">SUM(_xlfn.TEXTAFTER(_xlfn.TOCOL(_xlfn.TEXTSPLIT(C60,"，")),"-")*1)</f>
        <v>223</v>
      </c>
      <c r="E60" s="7">
        <f t="shared" si="0"/>
        <v>4</v>
      </c>
      <c r="F60" s="7">
        <f t="shared" si="1"/>
        <v>892</v>
      </c>
      <c r="G60" s="8"/>
    </row>
    <row r="61" ht="25" customHeight="1" spans="1:7">
      <c r="A61" s="5">
        <v>46009</v>
      </c>
      <c r="B61" s="6" t="s">
        <v>7</v>
      </c>
      <c r="C61" s="6" t="s">
        <v>65</v>
      </c>
      <c r="D61" s="7">
        <f t="array" ref="D61">SUM(_xlfn.TEXTAFTER(_xlfn.TOCOL(_xlfn.TEXTSPLIT(C61,"，")),"-")*1)</f>
        <v>198</v>
      </c>
      <c r="E61" s="7">
        <f t="shared" si="0"/>
        <v>4.2</v>
      </c>
      <c r="F61" s="7">
        <f t="shared" si="1"/>
        <v>831.6</v>
      </c>
      <c r="G61" s="8"/>
    </row>
    <row r="62" ht="25" customHeight="1" spans="1:7">
      <c r="A62" s="9">
        <v>46010</v>
      </c>
      <c r="B62" s="10" t="s">
        <v>7</v>
      </c>
      <c r="C62" s="10" t="s">
        <v>44</v>
      </c>
      <c r="D62" s="11">
        <f t="array" ref="D62">SUM(_xlfn.TEXTAFTER(_xlfn.TOCOL(_xlfn.TEXTSPLIT(C62,"，")),"-")*1)</f>
        <v>522</v>
      </c>
      <c r="E62" s="11">
        <f t="shared" si="0"/>
        <v>3.9</v>
      </c>
      <c r="F62" s="7">
        <f t="shared" si="1"/>
        <v>2035.8</v>
      </c>
      <c r="G62" s="8"/>
    </row>
    <row r="63" ht="25" customHeight="1" spans="1:7">
      <c r="A63" s="9">
        <v>46010</v>
      </c>
      <c r="B63" s="10" t="s">
        <v>7</v>
      </c>
      <c r="C63" s="10" t="s">
        <v>66</v>
      </c>
      <c r="D63" s="11">
        <f t="array" ref="D63">SUM(_xlfn.TEXTAFTER(_xlfn.TOCOL(_xlfn.TEXTSPLIT(C63,"，")),"-")*1)</f>
        <v>431</v>
      </c>
      <c r="E63" s="11">
        <f t="shared" si="0"/>
        <v>3.9</v>
      </c>
      <c r="F63" s="7">
        <f t="shared" si="1"/>
        <v>1680.9</v>
      </c>
      <c r="G63" s="8"/>
    </row>
    <row r="64" ht="25" customHeight="1" spans="1:7">
      <c r="A64" s="9">
        <v>46010</v>
      </c>
      <c r="B64" s="10" t="s">
        <v>7</v>
      </c>
      <c r="C64" s="10" t="s">
        <v>67</v>
      </c>
      <c r="D64" s="11">
        <f t="array" ref="D64">SUM(_xlfn.TEXTAFTER(_xlfn.TOCOL(_xlfn.TEXTSPLIT(C64,"，")),"-")*1)</f>
        <v>194</v>
      </c>
      <c r="E64" s="11">
        <f t="shared" si="0"/>
        <v>4.2</v>
      </c>
      <c r="F64" s="7">
        <f t="shared" si="1"/>
        <v>814.8</v>
      </c>
      <c r="G64" s="8"/>
    </row>
    <row r="65" ht="25" customHeight="1" spans="1:7">
      <c r="A65" s="5">
        <v>46011</v>
      </c>
      <c r="B65" s="6" t="s">
        <v>7</v>
      </c>
      <c r="C65" s="6" t="s">
        <v>68</v>
      </c>
      <c r="D65" s="7">
        <f t="array" ref="D65">SUM(_xlfn.TEXTAFTER(_xlfn.TOCOL(_xlfn.TEXTSPLIT(C65,"，")),"-")*1)</f>
        <v>297</v>
      </c>
      <c r="E65" s="7">
        <f t="shared" si="0"/>
        <v>4</v>
      </c>
      <c r="F65" s="7">
        <f t="shared" si="1"/>
        <v>1188</v>
      </c>
      <c r="G65" s="8"/>
    </row>
    <row r="66" ht="25" customHeight="1" spans="1:7">
      <c r="A66" s="5">
        <v>46011</v>
      </c>
      <c r="B66" s="6" t="s">
        <v>7</v>
      </c>
      <c r="C66" s="6" t="s">
        <v>69</v>
      </c>
      <c r="D66" s="7">
        <f t="array" ref="D66">SUM(_xlfn.TEXTAFTER(_xlfn.TOCOL(_xlfn.TEXTSPLIT(C66,"，")),"-")*1)</f>
        <v>312</v>
      </c>
      <c r="E66" s="7">
        <f t="shared" ref="E66:E100" si="2">IF(D66&gt;300,3.9,IF(D66&gt;200,4,IF(D66&gt;=100,4.2,445)))</f>
        <v>3.9</v>
      </c>
      <c r="F66" s="7">
        <f t="shared" ref="F66:F100" si="3">IF(D66&gt;=100,D66*E66,445)</f>
        <v>1216.8</v>
      </c>
      <c r="G66" s="8"/>
    </row>
    <row r="67" ht="25" customHeight="1" spans="1:7">
      <c r="A67" s="5">
        <v>46011</v>
      </c>
      <c r="B67" s="6" t="s">
        <v>7</v>
      </c>
      <c r="C67" s="6" t="s">
        <v>70</v>
      </c>
      <c r="D67" s="7">
        <f t="array" ref="D67">SUM(_xlfn.TEXTAFTER(_xlfn.TOCOL(_xlfn.TEXTSPLIT(C67,"，")),"-")*1)</f>
        <v>376</v>
      </c>
      <c r="E67" s="7">
        <f t="shared" si="2"/>
        <v>3.9</v>
      </c>
      <c r="F67" s="7">
        <f t="shared" si="3"/>
        <v>1466.4</v>
      </c>
      <c r="G67" s="8"/>
    </row>
    <row r="68" ht="25" customHeight="1" spans="1:7">
      <c r="A68" s="9">
        <v>46012</v>
      </c>
      <c r="B68" s="10" t="s">
        <v>7</v>
      </c>
      <c r="C68" s="10" t="s">
        <v>29</v>
      </c>
      <c r="D68" s="11">
        <f t="array" ref="D68">SUM(_xlfn.TEXTAFTER(_xlfn.TOCOL(_xlfn.TEXTSPLIT(C68,"，")),"-")*1)</f>
        <v>188</v>
      </c>
      <c r="E68" s="11">
        <f t="shared" si="2"/>
        <v>4.2</v>
      </c>
      <c r="F68" s="7">
        <f t="shared" si="3"/>
        <v>789.6</v>
      </c>
      <c r="G68" s="8"/>
    </row>
    <row r="69" ht="25" customHeight="1" spans="1:7">
      <c r="A69" s="5">
        <v>46013</v>
      </c>
      <c r="B69" s="6" t="s">
        <v>7</v>
      </c>
      <c r="C69" s="6" t="s">
        <v>71</v>
      </c>
      <c r="D69" s="7">
        <f t="array" ref="D69">SUM(_xlfn.TEXTAFTER(_xlfn.TOCOL(_xlfn.TEXTSPLIT(C69,"，")),"-")*1)</f>
        <v>288</v>
      </c>
      <c r="E69" s="7">
        <f t="shared" si="2"/>
        <v>4</v>
      </c>
      <c r="F69" s="7">
        <f t="shared" si="3"/>
        <v>1152</v>
      </c>
      <c r="G69" s="8"/>
    </row>
    <row r="70" ht="25" customHeight="1" spans="1:7">
      <c r="A70" s="5">
        <v>46013</v>
      </c>
      <c r="B70" s="6" t="s">
        <v>7</v>
      </c>
      <c r="C70" s="6" t="s">
        <v>72</v>
      </c>
      <c r="D70" s="7">
        <f t="array" ref="D70">SUM(_xlfn.TEXTAFTER(_xlfn.TOCOL(_xlfn.TEXTSPLIT(C70,"，")),"-")*1)</f>
        <v>438</v>
      </c>
      <c r="E70" s="7">
        <f t="shared" si="2"/>
        <v>3.9</v>
      </c>
      <c r="F70" s="7">
        <f t="shared" si="3"/>
        <v>1708.2</v>
      </c>
      <c r="G70" s="8"/>
    </row>
    <row r="71" ht="25" customHeight="1" spans="1:7">
      <c r="A71" s="5">
        <v>46013</v>
      </c>
      <c r="B71" s="6" t="s">
        <v>7</v>
      </c>
      <c r="C71" s="6" t="s">
        <v>73</v>
      </c>
      <c r="D71" s="7">
        <f t="array" ref="D71">SUM(_xlfn.TEXTAFTER(_xlfn.TOCOL(_xlfn.TEXTSPLIT(C71,"，")),"-")*1)</f>
        <v>357</v>
      </c>
      <c r="E71" s="7">
        <f t="shared" si="2"/>
        <v>3.9</v>
      </c>
      <c r="F71" s="7">
        <f t="shared" si="3"/>
        <v>1392.3</v>
      </c>
      <c r="G71" s="8"/>
    </row>
    <row r="72" ht="25" customHeight="1" spans="1:7">
      <c r="A72" s="5">
        <v>46013</v>
      </c>
      <c r="B72" s="6" t="s">
        <v>7</v>
      </c>
      <c r="C72" s="6" t="s">
        <v>74</v>
      </c>
      <c r="D72" s="7">
        <f t="array" ref="D72">SUM(_xlfn.TEXTAFTER(_xlfn.TOCOL(_xlfn.TEXTSPLIT(C72,"，")),"-")*1)</f>
        <v>194</v>
      </c>
      <c r="E72" s="7">
        <f t="shared" si="2"/>
        <v>4.2</v>
      </c>
      <c r="F72" s="7">
        <f t="shared" si="3"/>
        <v>814.8</v>
      </c>
      <c r="G72" s="8"/>
    </row>
    <row r="73" ht="25" customHeight="1" spans="1:7">
      <c r="A73" s="5">
        <v>46013</v>
      </c>
      <c r="B73" s="6" t="s">
        <v>7</v>
      </c>
      <c r="C73" s="6" t="s">
        <v>75</v>
      </c>
      <c r="D73" s="7">
        <f t="array" ref="D73">SUM(_xlfn.TEXTAFTER(_xlfn.TOCOL(_xlfn.TEXTSPLIT(C73,"，")),"-")*1)</f>
        <v>259</v>
      </c>
      <c r="E73" s="7">
        <f t="shared" si="2"/>
        <v>4</v>
      </c>
      <c r="F73" s="7">
        <f t="shared" si="3"/>
        <v>1036</v>
      </c>
      <c r="G73" s="8"/>
    </row>
    <row r="74" ht="25" customHeight="1" spans="1:7">
      <c r="A74" s="9">
        <v>46014</v>
      </c>
      <c r="B74" s="10" t="s">
        <v>7</v>
      </c>
      <c r="C74" s="10" t="s">
        <v>76</v>
      </c>
      <c r="D74" s="11">
        <f t="array" ref="D74">SUM(_xlfn.TEXTAFTER(_xlfn.TOCOL(_xlfn.TEXTSPLIT(C74,"，")),"-")*1)</f>
        <v>452</v>
      </c>
      <c r="E74" s="11">
        <f t="shared" si="2"/>
        <v>3.9</v>
      </c>
      <c r="F74" s="7">
        <f t="shared" si="3"/>
        <v>1762.8</v>
      </c>
      <c r="G74" s="8"/>
    </row>
    <row r="75" ht="25" customHeight="1" spans="1:7">
      <c r="A75" s="9">
        <v>46014</v>
      </c>
      <c r="B75" s="10" t="s">
        <v>7</v>
      </c>
      <c r="C75" s="10" t="s">
        <v>66</v>
      </c>
      <c r="D75" s="11">
        <f t="array" ref="D75">SUM(_xlfn.TEXTAFTER(_xlfn.TOCOL(_xlfn.TEXTSPLIT(C75,"，")),"-")*1)</f>
        <v>431</v>
      </c>
      <c r="E75" s="11">
        <f t="shared" si="2"/>
        <v>3.9</v>
      </c>
      <c r="F75" s="7">
        <f t="shared" si="3"/>
        <v>1680.9</v>
      </c>
      <c r="G75" s="8"/>
    </row>
    <row r="76" ht="25" customHeight="1" spans="1:7">
      <c r="A76" s="9">
        <v>46014</v>
      </c>
      <c r="B76" s="10" t="s">
        <v>7</v>
      </c>
      <c r="C76" s="10" t="s">
        <v>77</v>
      </c>
      <c r="D76" s="11">
        <f t="array" ref="D76">SUM(_xlfn.TEXTAFTER(_xlfn.TOCOL(_xlfn.TEXTSPLIT(C76,"，")),"-")*1)</f>
        <v>447</v>
      </c>
      <c r="E76" s="11">
        <f t="shared" si="2"/>
        <v>3.9</v>
      </c>
      <c r="F76" s="7">
        <f t="shared" si="3"/>
        <v>1743.3</v>
      </c>
      <c r="G76" s="8"/>
    </row>
    <row r="77" ht="25" customHeight="1" spans="1:7">
      <c r="A77" s="9">
        <v>46014</v>
      </c>
      <c r="B77" s="10" t="s">
        <v>7</v>
      </c>
      <c r="C77" s="10" t="s">
        <v>78</v>
      </c>
      <c r="D77" s="11">
        <f t="array" ref="D77">SUM(_xlfn.TEXTAFTER(_xlfn.TOCOL(_xlfn.TEXTSPLIT(C77,"，")),"-")*1)</f>
        <v>181</v>
      </c>
      <c r="E77" s="11">
        <f t="shared" si="2"/>
        <v>4.2</v>
      </c>
      <c r="F77" s="7">
        <f t="shared" si="3"/>
        <v>760.2</v>
      </c>
      <c r="G77" s="8"/>
    </row>
    <row r="78" ht="25" customHeight="1" spans="1:7">
      <c r="A78" s="5">
        <v>46016</v>
      </c>
      <c r="B78" s="6" t="s">
        <v>7</v>
      </c>
      <c r="C78" s="6" t="s">
        <v>79</v>
      </c>
      <c r="D78" s="7">
        <f t="array" ref="D78">SUM(_xlfn.TEXTAFTER(_xlfn.TOCOL(_xlfn.TEXTSPLIT(C78,"，")),"-")*1)</f>
        <v>250</v>
      </c>
      <c r="E78" s="7">
        <f t="shared" si="2"/>
        <v>4</v>
      </c>
      <c r="F78" s="7">
        <f t="shared" si="3"/>
        <v>1000</v>
      </c>
      <c r="G78" s="8"/>
    </row>
    <row r="79" ht="25" customHeight="1" spans="1:7">
      <c r="A79" s="5">
        <v>46016</v>
      </c>
      <c r="B79" s="6" t="s">
        <v>7</v>
      </c>
      <c r="C79" s="6" t="s">
        <v>80</v>
      </c>
      <c r="D79" s="7">
        <f t="array" ref="D79">SUM(_xlfn.TEXTAFTER(_xlfn.TOCOL(_xlfn.TEXTSPLIT(C79,"，")),"-")*1)</f>
        <v>265</v>
      </c>
      <c r="E79" s="7">
        <f t="shared" si="2"/>
        <v>4</v>
      </c>
      <c r="F79" s="7">
        <f t="shared" si="3"/>
        <v>1060</v>
      </c>
      <c r="G79" s="8"/>
    </row>
    <row r="80" ht="25" customHeight="1" spans="1:7">
      <c r="A80" s="5">
        <v>46016</v>
      </c>
      <c r="B80" s="6" t="s">
        <v>7</v>
      </c>
      <c r="C80" s="15" t="s">
        <v>14</v>
      </c>
      <c r="D80" s="7">
        <f t="array" ref="D80">SUM(_xlfn.TEXTAFTER(_xlfn.TOCOL(_xlfn.TEXTSPLIT(C80,"，")),"-")*1)</f>
        <v>119</v>
      </c>
      <c r="E80" s="7">
        <f t="shared" si="2"/>
        <v>4.2</v>
      </c>
      <c r="F80" s="7">
        <f t="shared" si="3"/>
        <v>499.8</v>
      </c>
      <c r="G80" s="8"/>
    </row>
    <row r="81" ht="25" customHeight="1" spans="1:7">
      <c r="A81" s="5">
        <v>46016</v>
      </c>
      <c r="B81" s="6" t="s">
        <v>7</v>
      </c>
      <c r="C81" s="16" t="s">
        <v>81</v>
      </c>
      <c r="D81" s="7">
        <f t="array" ref="D81">SUM(_xlfn.TEXTAFTER(_xlfn.TOCOL(_xlfn.TEXTSPLIT(C81,"，")),"-")*1)</f>
        <v>356</v>
      </c>
      <c r="E81" s="7">
        <f t="shared" si="2"/>
        <v>3.9</v>
      </c>
      <c r="F81" s="7">
        <f t="shared" si="3"/>
        <v>1388.4</v>
      </c>
      <c r="G81" s="8"/>
    </row>
    <row r="82" ht="25" customHeight="1" spans="1:7">
      <c r="A82" s="5">
        <v>46016</v>
      </c>
      <c r="B82" s="6" t="s">
        <v>7</v>
      </c>
      <c r="C82" s="6" t="s">
        <v>82</v>
      </c>
      <c r="D82" s="7">
        <f t="array" ref="D82">SUM(_xlfn.TEXTAFTER(_xlfn.TOCOL(_xlfn.TEXTSPLIT(C82,"，")),"-")*1)</f>
        <v>265</v>
      </c>
      <c r="E82" s="7">
        <f t="shared" si="2"/>
        <v>4</v>
      </c>
      <c r="F82" s="7">
        <f t="shared" si="3"/>
        <v>1060</v>
      </c>
      <c r="G82" s="8"/>
    </row>
    <row r="83" ht="25" customHeight="1" spans="1:7">
      <c r="A83" s="5">
        <v>46016</v>
      </c>
      <c r="B83" s="6" t="s">
        <v>7</v>
      </c>
      <c r="C83" s="6" t="s">
        <v>83</v>
      </c>
      <c r="D83" s="7">
        <f t="array" ref="D83">SUM(_xlfn.TEXTAFTER(_xlfn.TOCOL(_xlfn.TEXTSPLIT(C83,"，")),"-")*1)</f>
        <v>232</v>
      </c>
      <c r="E83" s="7">
        <f t="shared" si="2"/>
        <v>4</v>
      </c>
      <c r="F83" s="7">
        <f t="shared" si="3"/>
        <v>928</v>
      </c>
      <c r="G83" s="8"/>
    </row>
    <row r="84" ht="25" customHeight="1" spans="1:7">
      <c r="A84" s="5">
        <v>46016</v>
      </c>
      <c r="B84" s="6" t="s">
        <v>7</v>
      </c>
      <c r="C84" s="6" t="s">
        <v>84</v>
      </c>
      <c r="D84" s="7">
        <f t="array" ref="D84">SUM(_xlfn.TEXTAFTER(_xlfn.TOCOL(_xlfn.TEXTSPLIT(C84,"，")),"-")*1)</f>
        <v>238</v>
      </c>
      <c r="E84" s="7">
        <f t="shared" si="2"/>
        <v>4</v>
      </c>
      <c r="F84" s="7">
        <f t="shared" si="3"/>
        <v>952</v>
      </c>
      <c r="G84" s="8"/>
    </row>
    <row r="85" ht="25" customHeight="1" spans="1:7">
      <c r="A85" s="9">
        <v>46017</v>
      </c>
      <c r="B85" s="10" t="s">
        <v>7</v>
      </c>
      <c r="C85" s="10" t="s">
        <v>66</v>
      </c>
      <c r="D85" s="11">
        <f t="array" ref="D85">SUM(_xlfn.TEXTAFTER(_xlfn.TOCOL(_xlfn.TEXTSPLIT(C85,"，")),"-")*1)</f>
        <v>431</v>
      </c>
      <c r="E85" s="11">
        <f t="shared" si="2"/>
        <v>3.9</v>
      </c>
      <c r="F85" s="7">
        <f t="shared" si="3"/>
        <v>1680.9</v>
      </c>
      <c r="G85" s="8"/>
    </row>
    <row r="86" ht="25" customHeight="1" spans="1:7">
      <c r="A86" s="9">
        <v>46017</v>
      </c>
      <c r="B86" s="10" t="s">
        <v>7</v>
      </c>
      <c r="C86" s="10" t="s">
        <v>44</v>
      </c>
      <c r="D86" s="11">
        <f t="array" ref="D86">SUM(_xlfn.TEXTAFTER(_xlfn.TOCOL(_xlfn.TEXTSPLIT(C86,"，")),"-")*1)</f>
        <v>522</v>
      </c>
      <c r="E86" s="11">
        <f t="shared" si="2"/>
        <v>3.9</v>
      </c>
      <c r="F86" s="7">
        <f t="shared" si="3"/>
        <v>2035.8</v>
      </c>
      <c r="G86" s="8"/>
    </row>
    <row r="87" ht="25" customHeight="1" spans="1:7">
      <c r="A87" s="9">
        <v>46017</v>
      </c>
      <c r="B87" s="10" t="s">
        <v>7</v>
      </c>
      <c r="C87" s="10" t="s">
        <v>85</v>
      </c>
      <c r="D87" s="11">
        <f t="array" ref="D87">SUM(_xlfn.TEXTAFTER(_xlfn.TOCOL(_xlfn.TEXTSPLIT(C87,"，")),"-")*1)</f>
        <v>193</v>
      </c>
      <c r="E87" s="11">
        <f t="shared" si="2"/>
        <v>4.2</v>
      </c>
      <c r="F87" s="7">
        <f t="shared" si="3"/>
        <v>810.6</v>
      </c>
      <c r="G87" s="8"/>
    </row>
    <row r="88" ht="25" customHeight="1" spans="1:7">
      <c r="A88" s="5">
        <v>46018</v>
      </c>
      <c r="B88" s="6" t="s">
        <v>7</v>
      </c>
      <c r="C88" s="6" t="s">
        <v>86</v>
      </c>
      <c r="D88" s="7">
        <f t="array" ref="D88">SUM(_xlfn.TEXTAFTER(_xlfn.TOCOL(_xlfn.TEXTSPLIT(C88,"，")),"-")*1)</f>
        <v>289</v>
      </c>
      <c r="E88" s="7">
        <f t="shared" si="2"/>
        <v>4</v>
      </c>
      <c r="F88" s="7">
        <f t="shared" si="3"/>
        <v>1156</v>
      </c>
      <c r="G88" s="8"/>
    </row>
    <row r="89" ht="25" customHeight="1" spans="1:7">
      <c r="A89" s="5">
        <v>46018</v>
      </c>
      <c r="B89" s="6" t="s">
        <v>7</v>
      </c>
      <c r="C89" s="6" t="s">
        <v>87</v>
      </c>
      <c r="D89" s="7">
        <f t="array" ref="D89">SUM(_xlfn.TEXTAFTER(_xlfn.TOCOL(_xlfn.TEXTSPLIT(C89,"，")),"-")*1)</f>
        <v>406</v>
      </c>
      <c r="E89" s="7">
        <f t="shared" si="2"/>
        <v>3.9</v>
      </c>
      <c r="F89" s="7">
        <f t="shared" si="3"/>
        <v>1583.4</v>
      </c>
      <c r="G89" s="8"/>
    </row>
    <row r="90" ht="25" customHeight="1" spans="1:7">
      <c r="A90" s="5">
        <v>46018</v>
      </c>
      <c r="B90" s="6" t="s">
        <v>7</v>
      </c>
      <c r="C90" s="6" t="s">
        <v>88</v>
      </c>
      <c r="D90" s="7">
        <f t="array" ref="D90">SUM(_xlfn.TEXTAFTER(_xlfn.TOCOL(_xlfn.TEXTSPLIT(C90,"，")),"-")*1)</f>
        <v>283</v>
      </c>
      <c r="E90" s="7">
        <f t="shared" si="2"/>
        <v>4</v>
      </c>
      <c r="F90" s="7">
        <f t="shared" si="3"/>
        <v>1132</v>
      </c>
      <c r="G90" s="8"/>
    </row>
    <row r="91" ht="25" customHeight="1" spans="1:7">
      <c r="A91" s="9">
        <v>46019</v>
      </c>
      <c r="B91" s="10" t="s">
        <v>7</v>
      </c>
      <c r="C91" s="10" t="s">
        <v>89</v>
      </c>
      <c r="D91" s="11">
        <f t="array" ref="D91">SUM(_xlfn.TEXTAFTER(_xlfn.TOCOL(_xlfn.TEXTSPLIT(C91,"，")),"-")*1)</f>
        <v>173</v>
      </c>
      <c r="E91" s="11">
        <f t="shared" si="2"/>
        <v>4.2</v>
      </c>
      <c r="F91" s="7">
        <f t="shared" si="3"/>
        <v>726.6</v>
      </c>
      <c r="G91" s="8"/>
    </row>
    <row r="92" ht="25" customHeight="1" spans="1:7">
      <c r="A92" s="9">
        <v>46020</v>
      </c>
      <c r="B92" s="10" t="s">
        <v>7</v>
      </c>
      <c r="C92" s="10" t="s">
        <v>90</v>
      </c>
      <c r="D92" s="11">
        <f t="array" ref="D92">SUM(_xlfn.TEXTAFTER(_xlfn.TOCOL(_xlfn.TEXTSPLIT(C92,"，")),"-")*1)</f>
        <v>321</v>
      </c>
      <c r="E92" s="11">
        <f t="shared" si="2"/>
        <v>3.9</v>
      </c>
      <c r="F92" s="7">
        <f t="shared" si="3"/>
        <v>1251.9</v>
      </c>
      <c r="G92" s="8"/>
    </row>
    <row r="93" ht="25" customHeight="1" spans="1:7">
      <c r="A93" s="5">
        <v>46020</v>
      </c>
      <c r="B93" s="6" t="s">
        <v>7</v>
      </c>
      <c r="C93" s="6" t="s">
        <v>24</v>
      </c>
      <c r="D93" s="7">
        <f t="array" ref="D93">SUM(_xlfn.TEXTAFTER(_xlfn.TOCOL(_xlfn.TEXTSPLIT(C93,"，")),"-")*1)</f>
        <v>401</v>
      </c>
      <c r="E93" s="7">
        <f t="shared" si="2"/>
        <v>3.9</v>
      </c>
      <c r="F93" s="7">
        <f t="shared" si="3"/>
        <v>1563.9</v>
      </c>
      <c r="G93" s="8"/>
    </row>
    <row r="94" ht="25" customHeight="1" spans="1:7">
      <c r="A94" s="5">
        <v>46020</v>
      </c>
      <c r="B94" s="6" t="s">
        <v>7</v>
      </c>
      <c r="C94" s="6" t="s">
        <v>91</v>
      </c>
      <c r="D94" s="7">
        <f t="array" ref="D94">SUM(_xlfn.TEXTAFTER(_xlfn.TOCOL(_xlfn.TEXTSPLIT(C94,"，")),"-")*1)</f>
        <v>239</v>
      </c>
      <c r="E94" s="7">
        <f t="shared" si="2"/>
        <v>4</v>
      </c>
      <c r="F94" s="7">
        <f t="shared" si="3"/>
        <v>956</v>
      </c>
      <c r="G94" s="8"/>
    </row>
    <row r="95" ht="25" customHeight="1" spans="1:7">
      <c r="A95" s="5">
        <v>46020</v>
      </c>
      <c r="B95" s="6" t="s">
        <v>7</v>
      </c>
      <c r="C95" s="6" t="s">
        <v>92</v>
      </c>
      <c r="D95" s="7">
        <f t="array" ref="D95">SUM(_xlfn.TEXTAFTER(_xlfn.TOCOL(_xlfn.TEXTSPLIT(C95,"，")),"-")*1)</f>
        <v>374</v>
      </c>
      <c r="E95" s="7">
        <f t="shared" si="2"/>
        <v>3.9</v>
      </c>
      <c r="F95" s="7">
        <f t="shared" si="3"/>
        <v>1458.6</v>
      </c>
      <c r="G95" s="8"/>
    </row>
    <row r="96" ht="25" customHeight="1" spans="1:7">
      <c r="A96" s="5">
        <v>46020</v>
      </c>
      <c r="B96" s="6" t="s">
        <v>7</v>
      </c>
      <c r="C96" s="6" t="s">
        <v>93</v>
      </c>
      <c r="D96" s="7">
        <f t="array" ref="D96">SUM(_xlfn.TEXTAFTER(_xlfn.TOCOL(_xlfn.TEXTSPLIT(C96,"，")),"-")*1)</f>
        <v>199</v>
      </c>
      <c r="E96" s="7">
        <f t="shared" si="2"/>
        <v>4.2</v>
      </c>
      <c r="F96" s="7">
        <f t="shared" si="3"/>
        <v>835.8</v>
      </c>
      <c r="G96" s="8"/>
    </row>
    <row r="97" ht="25" customHeight="1" spans="1:7">
      <c r="A97" s="5">
        <v>46020</v>
      </c>
      <c r="B97" s="6" t="s">
        <v>7</v>
      </c>
      <c r="C97" s="6" t="s">
        <v>94</v>
      </c>
      <c r="D97" s="7">
        <f t="array" ref="D97">SUM(_xlfn.TEXTAFTER(_xlfn.TOCOL(_xlfn.TEXTSPLIT(C97,"，")),"-")*1)</f>
        <v>115</v>
      </c>
      <c r="E97" s="7">
        <f t="shared" si="2"/>
        <v>4.2</v>
      </c>
      <c r="F97" s="7">
        <f t="shared" si="3"/>
        <v>483</v>
      </c>
      <c r="G97" s="8"/>
    </row>
    <row r="98" ht="25" customHeight="1" spans="1:7">
      <c r="A98" s="9">
        <v>46021</v>
      </c>
      <c r="B98" s="10" t="s">
        <v>7</v>
      </c>
      <c r="C98" s="10" t="s">
        <v>95</v>
      </c>
      <c r="D98" s="11">
        <f t="array" ref="D98">SUM(_xlfn.TEXTAFTER(_xlfn.TOCOL(_xlfn.TEXTSPLIT(C98,"，")),"-")*1)</f>
        <v>549</v>
      </c>
      <c r="E98" s="11">
        <f t="shared" si="2"/>
        <v>3.9</v>
      </c>
      <c r="F98" s="7">
        <f t="shared" si="3"/>
        <v>2141.1</v>
      </c>
      <c r="G98" s="8"/>
    </row>
    <row r="99" ht="25" customHeight="1" spans="1:7">
      <c r="A99" s="9">
        <v>46021</v>
      </c>
      <c r="B99" s="10" t="s">
        <v>7</v>
      </c>
      <c r="C99" s="10" t="s">
        <v>96</v>
      </c>
      <c r="D99" s="11">
        <f t="array" ref="D99">SUM(_xlfn.TEXTAFTER(_xlfn.TOCOL(_xlfn.TEXTSPLIT(C99,"，")),"-")*1)</f>
        <v>433</v>
      </c>
      <c r="E99" s="11">
        <f t="shared" si="2"/>
        <v>3.9</v>
      </c>
      <c r="F99" s="7">
        <f t="shared" si="3"/>
        <v>1688.7</v>
      </c>
      <c r="G99" s="8"/>
    </row>
    <row r="100" ht="25" customHeight="1" spans="1:7">
      <c r="A100" s="17">
        <v>46021</v>
      </c>
      <c r="B100" s="18" t="s">
        <v>7</v>
      </c>
      <c r="C100" s="18" t="s">
        <v>97</v>
      </c>
      <c r="D100" s="19">
        <f t="array" ref="D100">SUM(_xlfn.TEXTAFTER(_xlfn.TOCOL(_xlfn.TEXTSPLIT(C100,"，")),"-")*1)</f>
        <v>185</v>
      </c>
      <c r="E100" s="19">
        <f t="shared" si="2"/>
        <v>4.2</v>
      </c>
      <c r="F100" s="20">
        <f t="shared" si="3"/>
        <v>777</v>
      </c>
      <c r="G100" s="21"/>
    </row>
    <row r="101" ht="25" customHeight="1" spans="1:7">
      <c r="A101" s="22" t="s">
        <v>98</v>
      </c>
      <c r="B101" s="23"/>
      <c r="C101" s="23"/>
      <c r="D101" s="2"/>
      <c r="E101" s="2"/>
      <c r="F101" s="24">
        <f>SUM(F2:F100)</f>
        <v>124777.4</v>
      </c>
      <c r="G101" s="23"/>
    </row>
    <row r="102" ht="25" customHeight="1" spans="1:7">
      <c r="A102" s="22" t="s">
        <v>99</v>
      </c>
      <c r="B102" s="23"/>
      <c r="C102" s="23"/>
      <c r="D102" s="2"/>
      <c r="E102" s="2"/>
      <c r="F102" s="25">
        <v>4533.30488</v>
      </c>
      <c r="G102" s="23"/>
    </row>
    <row r="103" ht="25" customHeight="1" spans="1:7">
      <c r="A103" s="26" t="s">
        <v>100</v>
      </c>
      <c r="B103" s="27"/>
      <c r="C103" s="27"/>
      <c r="D103" s="27"/>
      <c r="E103" s="27"/>
      <c r="F103" s="28">
        <f>F101-F102</f>
        <v>120244.09512</v>
      </c>
      <c r="G103" s="2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宋亮</cp:lastModifiedBy>
  <dcterms:created xsi:type="dcterms:W3CDTF">2026-01-03T07:37:00Z</dcterms:created>
  <dcterms:modified xsi:type="dcterms:W3CDTF">2026-01-08T05:17:25Z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551F2138D60E45AE99AC2217216A70A1_13</vt:lpwstr>
  </property>
  <property fmtid="{D5CDD505-2E9C-101B-9397-08002B2CF9AE}" pid="3" name="KSOProductBuildVer">
    <vt:lpwstr>2052-12.1.0.16250</vt:lpwstr>
  </property>
  <property fmtid="{D5CDD505-2E9C-101B-9397-08002B2CF9AE}" pid="4" name="CalculationRule">
    <vt:i4>1</vt:i4>
  </property>
</Properties>
</file>