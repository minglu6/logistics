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&quot;月&quot;D&quot;日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cols>
    <col width="10" customWidth="1" min="2" max="2"/>
    <col width="50" customWidth="1" min="3" max="3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店名</t>
        </is>
      </c>
      <c r="D1" s="1" t="inlineStr">
        <is>
          <t>公里数</t>
        </is>
      </c>
      <c r="E1" s="1" t="inlineStr">
        <is>
          <t>公里数</t>
        </is>
      </c>
      <c r="F1" s="1" t="inlineStr">
        <is>
          <t>不含税单价</t>
        </is>
      </c>
      <c r="G1" s="1" t="inlineStr">
        <is>
          <t>含税单价</t>
        </is>
      </c>
      <c r="H1" s="1" t="inlineStr">
        <is>
          <t>不含税合价（运费）</t>
        </is>
      </c>
      <c r="I1" s="1" t="inlineStr">
        <is>
          <t>含税合价（运费）</t>
        </is>
      </c>
      <c r="J1" s="1" t="inlineStr">
        <is>
          <t>司机价格</t>
        </is>
      </c>
      <c r="K1" s="1" t="inlineStr">
        <is>
          <t>司机价格</t>
        </is>
      </c>
      <c r="L1" s="1" t="inlineStr">
        <is>
          <t>司机姓名</t>
        </is>
      </c>
      <c r="M1" s="1" t="inlineStr">
        <is>
          <t>照片</t>
        </is>
      </c>
      <c r="N1" s="1" t="inlineStr">
        <is>
          <t>备注</t>
        </is>
      </c>
    </row>
    <row r="2">
      <c r="A2" s="1" t="n">
        <v>1</v>
      </c>
      <c r="B2" s="2" t="n">
        <v>46054</v>
      </c>
      <c r="C2" s="3" t="inlineStr">
        <is>
          <t>共橙一站式超市（南昌明月山大道店）-7km
共橙一站式超市（南昌云飞路店）-19km
惠宜选超市（南昌南莲路店）-9km
惠宜选超市（南昌高新南大道店）-5km
共橙一站式超市（南昌国威路店）-11km
共橙一站式超市（南昌京东大道店)-5km
共橙一站式超市（丰城紫云南大道店）-86km</t>
        </is>
      </c>
      <c r="D2" s="1" t="n">
        <v>142</v>
      </c>
      <c r="E2" s="1" t="n">
        <v>142</v>
      </c>
      <c r="F2" s="1">
        <f>G2/1.09</f>
        <v/>
      </c>
      <c r="G2" s="1">
        <f>IF(D2&lt;=100,440,IF(D2&lt;=200,4.2,IF(D2&lt;=300,4,3.9)))</f>
        <v/>
      </c>
      <c r="H2" s="1">
        <f>D2*F2</f>
        <v/>
      </c>
      <c r="I2" s="1">
        <f>D2*G2</f>
        <v/>
      </c>
      <c r="J2" s="1">
        <f>IF(D2&lt;=100,400,IF(D2&lt;=300,3.2,3))</f>
        <v/>
      </c>
      <c r="K2" s="1">
        <f>D2*J2</f>
        <v/>
      </c>
    </row>
    <row r="3">
      <c r="A3" s="1" t="n">
        <v>2</v>
      </c>
      <c r="B3" s="2" t="n">
        <v>46055</v>
      </c>
      <c r="C3" s="3" t="inlineStr">
        <is>
          <t>共橙一站式超市（南昌东祥路店）-23km
共橙一站式超市（南昌经开区庐山南大道店）-25km
共橙一站式超市（共青城南湖大道店）-71km
惠宜选超市（共青城育才路店）-1km
共橙一站式超市（武宁月山路店）-87km
惠宜选-九江市修水店-80km
共橙一站式超市（修水县龙井路店）-4km</t>
        </is>
      </c>
      <c r="D3" s="1" t="n">
        <v>291</v>
      </c>
      <c r="E3" s="1" t="n">
        <v>291</v>
      </c>
      <c r="F3" s="1">
        <f>G3/1.09</f>
        <v/>
      </c>
      <c r="G3" s="1">
        <f>IF(D3&lt;=100,440,IF(D3&lt;=200,4.2,IF(D3&lt;=300,4,3.9)))</f>
        <v/>
      </c>
      <c r="H3" s="1">
        <f>D3*F3</f>
        <v/>
      </c>
      <c r="I3" s="1">
        <f>D3*G3</f>
        <v/>
      </c>
      <c r="J3" s="1">
        <f>IF(D3&lt;=100,400,IF(D3&lt;=300,3.2,3))</f>
        <v/>
      </c>
      <c r="K3" s="1">
        <f>D3*J3</f>
        <v/>
      </c>
    </row>
    <row r="4">
      <c r="A4" s="1" t="n">
        <v>3</v>
      </c>
      <c r="B4" s="2" t="n">
        <v>46055</v>
      </c>
      <c r="C4" s="3" t="inlineStr">
        <is>
          <t>厉臣省钱超市（赣州潭口镇店）-386km</t>
        </is>
      </c>
      <c r="D4" s="1" t="n">
        <v>386</v>
      </c>
      <c r="E4" s="1" t="n">
        <v>386</v>
      </c>
      <c r="F4" s="1">
        <f>G4/1.09</f>
        <v/>
      </c>
      <c r="G4" s="1">
        <f>IF(D4&lt;=100,440,IF(D4&lt;=200,4.2,IF(D4&lt;=300,4,3.9)))</f>
        <v/>
      </c>
      <c r="H4" s="1">
        <f>D4*F4</f>
        <v/>
      </c>
      <c r="I4" s="1">
        <f>D4*G4</f>
        <v/>
      </c>
      <c r="J4" s="1">
        <f>IF(D4&lt;=100,400,IF(D4&lt;=300,3.2,3))</f>
        <v/>
      </c>
      <c r="K4" s="1">
        <f>D4*J4</f>
        <v/>
      </c>
      <c r="N4" s="3" t="inlineStr">
        <is>
          <t>新店4.2高栏配送</t>
        </is>
      </c>
    </row>
    <row r="5">
      <c r="A5" s="1" t="n">
        <v>4</v>
      </c>
      <c r="B5" s="2" t="n">
        <v>46056</v>
      </c>
      <c r="C5" s="3" t="inlineStr">
        <is>
          <t>共橙一站式超市（兴国县兴国大道店）-322km
厉臣省钱超市（于都金山大道店）-88km
共橙一站式超市（安远腾飞路店）-115km
共橙一站式超市（寻乌新东大道店）-61km</t>
        </is>
      </c>
      <c r="D5" s="1" t="n">
        <v>586</v>
      </c>
      <c r="E5" s="1" t="n">
        <v>586</v>
      </c>
      <c r="F5" s="1">
        <f>G5/1.09</f>
        <v/>
      </c>
      <c r="G5" s="1">
        <f>IF(D5&lt;=100,440,IF(D5&lt;=200,4.2,IF(D5&lt;=300,4,3.9)))</f>
        <v/>
      </c>
      <c r="H5" s="1">
        <f>D5*F5</f>
        <v/>
      </c>
      <c r="I5" s="1">
        <f>D5*G5</f>
        <v/>
      </c>
      <c r="J5" s="1">
        <f>IF(D5&lt;=100,400,IF(D5&lt;=300,3.2,3))</f>
        <v/>
      </c>
      <c r="K5" s="1">
        <f>D5*J5</f>
        <v/>
      </c>
    </row>
    <row r="6">
      <c r="A6" s="1" t="n">
        <v>5</v>
      </c>
      <c r="B6" s="2" t="n">
        <v>46056</v>
      </c>
      <c r="C6" s="3" t="inlineStr">
        <is>
          <t>共橙一站式超市（兴国县将军大道店）-319km
共橙一站式超市（于都杨公路店）-84km
共橙一站式超市（赣县梅林大街店）-52km</t>
        </is>
      </c>
      <c r="D6" s="1" t="n">
        <v>455</v>
      </c>
      <c r="E6" s="1" t="n">
        <v>455</v>
      </c>
      <c r="F6" s="1">
        <f>G6/1.09</f>
        <v/>
      </c>
      <c r="G6" s="1">
        <f>IF(D6&lt;=100,440,IF(D6&lt;=200,4.2,IF(D6&lt;=300,4,3.9)))</f>
        <v/>
      </c>
      <c r="H6" s="1">
        <f>D6*F6</f>
        <v/>
      </c>
      <c r="I6" s="1">
        <f>D6*G6</f>
        <v/>
      </c>
      <c r="J6" s="1">
        <f>IF(D6&lt;=100,400,IF(D6&lt;=300,3.2,3))</f>
        <v/>
      </c>
      <c r="K6" s="1">
        <f>D6*J6</f>
        <v/>
      </c>
    </row>
    <row r="7">
      <c r="A7" s="1" t="n">
        <v>6</v>
      </c>
      <c r="B7" s="2" t="n">
        <v>46056</v>
      </c>
      <c r="C7" s="3" t="inlineStr">
        <is>
          <t>共橙一站式超市（鄱阳县五一北路店）-157km
共橙一站式超市（鄱阳锦宇大道店）-3km
共橙一站式超市（乐平福泰路店）-47km
共橙一站式超市（德兴滨河大道店）-59km</t>
        </is>
      </c>
      <c r="D7" s="1" t="n">
        <v>266</v>
      </c>
      <c r="E7" s="1" t="n">
        <v>266</v>
      </c>
      <c r="F7" s="1">
        <f>G7/1.09</f>
        <v/>
      </c>
      <c r="G7" s="1">
        <f>IF(D7&lt;=100,440,IF(D7&lt;=200,4.2,IF(D7&lt;=300,4,3.9)))</f>
        <v/>
      </c>
      <c r="H7" s="1">
        <f>D7*F7</f>
        <v/>
      </c>
      <c r="I7" s="1">
        <f>D7*G7</f>
        <v/>
      </c>
      <c r="J7" s="1">
        <f>IF(D7&lt;=100,400,IF(D7&lt;=300,3.2,3))</f>
        <v/>
      </c>
      <c r="K7" s="1">
        <f>D7*J7</f>
        <v/>
      </c>
    </row>
    <row r="8">
      <c r="A8" s="1" t="n">
        <v>7</v>
      </c>
      <c r="B8" s="2" t="n">
        <v>46056</v>
      </c>
      <c r="C8" s="3" t="inlineStr">
        <is>
          <t>共橙一站式超市（吉安青原大道店）-218km
共橙一站式超市（吉安县赣江大道店）-14km
共橙一站式超市（泰和澄江大道店）-29km
共橙一站式超市（万安建设路店）-54km
共橙一站式超市（遂川川江南路店）-40km</t>
        </is>
      </c>
      <c r="D8" s="1" t="n">
        <v>355</v>
      </c>
      <c r="E8" s="1" t="n">
        <v>355</v>
      </c>
      <c r="F8" s="1">
        <f>G8/1.09</f>
        <v/>
      </c>
      <c r="G8" s="1">
        <f>IF(D8&lt;=100,440,IF(D8&lt;=200,4.2,IF(D8&lt;=300,4,3.9)))</f>
        <v/>
      </c>
      <c r="H8" s="1">
        <f>D8*F8</f>
        <v/>
      </c>
      <c r="I8" s="1">
        <f>D8*G8</f>
        <v/>
      </c>
      <c r="J8" s="1">
        <f>IF(D8&lt;=100,400,IF(D8&lt;=300,3.2,3))</f>
        <v/>
      </c>
      <c r="K8" s="1">
        <f>D8*J8</f>
        <v/>
      </c>
    </row>
    <row r="9">
      <c r="A9" s="1" t="n">
        <v>8</v>
      </c>
      <c r="B9" s="2" t="n">
        <v>46057</v>
      </c>
      <c r="C9" s="3" t="inlineStr">
        <is>
          <t>共橙一站式超市（南昌国威路店）-37km
共橙一站式超市（九江泰山路店）-137km
共橙一站式超市（九江浔阳东路店）-7km
共橙一站式超市（湖口渊明路店）-30km
厉臣便利（彭泽县龙兴路店）-34km</t>
        </is>
      </c>
      <c r="D9" s="1" t="n">
        <v>245</v>
      </c>
      <c r="E9" s="1" t="n">
        <v>245</v>
      </c>
      <c r="F9" s="1">
        <f>G9/1.09</f>
        <v/>
      </c>
      <c r="G9" s="1">
        <f>IF(D9&lt;=100,440,IF(D9&lt;=200,4.2,IF(D9&lt;=300,4,3.9)))</f>
        <v/>
      </c>
      <c r="H9" s="1">
        <f>D9*F9</f>
        <v/>
      </c>
      <c r="I9" s="1">
        <f>D9*G9</f>
        <v/>
      </c>
      <c r="J9" s="1">
        <f>IF(D9&lt;=100,400,IF(D9&lt;=300,3.2,3))</f>
        <v/>
      </c>
      <c r="K9" s="1">
        <f>D9*J9</f>
        <v/>
      </c>
    </row>
    <row r="10">
      <c r="A10" s="1" t="n">
        <v>9</v>
      </c>
      <c r="B10" s="2" t="n">
        <v>46057</v>
      </c>
      <c r="C10" s="3" t="inlineStr">
        <is>
          <t>惠宜选超市（共青城育才路店）-89km
共橙一站式超市（九江庐山西路店）-51km
惠宜选-九江市柴桑店-2km
共橙一站式超市（九江八里湖大道店）-8km
共橙一站式超市（九江花溪路店）-5km</t>
        </is>
      </c>
      <c r="D10" s="1" t="n">
        <v>155</v>
      </c>
      <c r="E10" s="1" t="n">
        <v>155</v>
      </c>
      <c r="F10" s="1">
        <f>G10/1.09</f>
        <v/>
      </c>
      <c r="G10" s="1">
        <f>IF(D10&lt;=100,440,IF(D10&lt;=200,4.2,IF(D10&lt;=300,4,3.9)))</f>
        <v/>
      </c>
      <c r="H10" s="1">
        <f>D10*F10</f>
        <v/>
      </c>
      <c r="I10" s="1">
        <f>D10*G10</f>
        <v/>
      </c>
      <c r="J10" s="1">
        <f>IF(D10&lt;=100,400,IF(D10&lt;=300,3.2,3))</f>
        <v/>
      </c>
      <c r="K10" s="1">
        <f>D10*J10</f>
        <v/>
      </c>
    </row>
    <row r="11">
      <c r="A11" s="1" t="n">
        <v>10</v>
      </c>
      <c r="B11" s="2" t="n">
        <v>46057</v>
      </c>
      <c r="C11" s="3" t="inlineStr">
        <is>
          <t>共橙一站式超市（南昌云飞路店）-27km
共橙一站式超市（南昌京东大道店)-19km
共橙一站式超市(瑞昌赤乌大道店)-150km
共橙一站式超市（瑞昌人民北路店）-2km</t>
        </is>
      </c>
      <c r="D11" s="1" t="n">
        <v>198</v>
      </c>
      <c r="E11" s="1" t="n">
        <v>198</v>
      </c>
      <c r="F11" s="1">
        <f>G11/1.09</f>
        <v/>
      </c>
      <c r="G11" s="1">
        <f>IF(D11&lt;=100,440,IF(D11&lt;=200,4.2,IF(D11&lt;=300,4,3.9)))</f>
        <v/>
      </c>
      <c r="H11" s="1">
        <f>D11*F11</f>
        <v/>
      </c>
      <c r="I11" s="1">
        <f>D11*G11</f>
        <v/>
      </c>
      <c r="J11" s="1">
        <f>IF(D11&lt;=100,400,IF(D11&lt;=300,3.2,3))</f>
        <v/>
      </c>
      <c r="K11" s="1">
        <f>D11*J11</f>
        <v/>
      </c>
    </row>
    <row r="12">
      <c r="A12" s="1" t="n">
        <v>11</v>
      </c>
      <c r="B12" s="2" t="n">
        <v>46057</v>
      </c>
      <c r="C12" s="3" t="inlineStr">
        <is>
          <t>惠宜选超市（南昌高新南大道店）-38km
共橙一站式超市（庐山玉帘路店）-126km
共橙一站式超市（庐山星光大道店）-1km
厉臣-九江市都昌东风大道店-49km</t>
        </is>
      </c>
      <c r="D12" s="1" t="n">
        <v>214</v>
      </c>
      <c r="E12" s="1" t="n">
        <v>214</v>
      </c>
      <c r="F12" s="1">
        <f>G12/1.09</f>
        <v/>
      </c>
      <c r="G12" s="1">
        <f>IF(D12&lt;=100,440,IF(D12&lt;=200,4.2,IF(D12&lt;=300,4,3.9)))</f>
        <v/>
      </c>
      <c r="H12" s="1">
        <f>D12*F12</f>
        <v/>
      </c>
      <c r="I12" s="1">
        <f>D12*G12</f>
        <v/>
      </c>
      <c r="J12" s="1">
        <f>IF(D12&lt;=100,400,IF(D12&lt;=300,3.2,3))</f>
        <v/>
      </c>
      <c r="K12" s="1">
        <f>D12*J12</f>
        <v/>
      </c>
    </row>
    <row r="13">
      <c r="A13" s="1" t="n">
        <v>12</v>
      </c>
      <c r="B13" s="2" t="n">
        <v>46058</v>
      </c>
      <c r="C13" s="3" t="inlineStr">
        <is>
          <t>惠宜选超市（瑞金金二路店）-366km
共橙一站式超市（寻乌新东大道店）-129km
共橙一站式超市（安远腾飞路店）-64km
共橙一站式超市（定南龙亭路店）-67km
共橙一站式超市（龙南嘉吉路店）-38km
共橙一站式超市（全南滨江路店）-38km</t>
        </is>
      </c>
      <c r="D13" s="1" t="n">
        <v>702</v>
      </c>
      <c r="E13" s="1" t="n">
        <v>702</v>
      </c>
      <c r="F13" s="1">
        <f>G13/1.09</f>
        <v/>
      </c>
      <c r="G13" s="1">
        <f>IF(D13&lt;=100,440,IF(D13&lt;=200,4.2,IF(D13&lt;=300,4,3.9)))</f>
        <v/>
      </c>
      <c r="H13" s="1">
        <f>D13*F13</f>
        <v/>
      </c>
      <c r="I13" s="1">
        <f>D13*G13</f>
        <v/>
      </c>
      <c r="J13" s="1">
        <f>IF(D13&lt;=100,400,IF(D13&lt;=300,3.2,3))</f>
        <v/>
      </c>
      <c r="K13" s="1">
        <f>D13*J13</f>
        <v/>
      </c>
    </row>
    <row r="14">
      <c r="A14" s="1" t="n">
        <v>13</v>
      </c>
      <c r="B14" s="2" t="n">
        <v>46058</v>
      </c>
      <c r="C14" s="3" t="inlineStr">
        <is>
          <t>共橙一站式超市（南昌明月山大道店）-7km
共橙一站式超市（南昌安宝大道店）-39km
共橙一站式超市（进贤昌盛路店）-42km
共橙一站式超市（金溪县秀谷西大道店）-88km
共橙一站式超市（资溪县滨江路店）-54km
共橙一站式超市（黎川杏林路店）-74km</t>
        </is>
      </c>
      <c r="D14" s="1" t="n">
        <v>304</v>
      </c>
      <c r="E14" s="1" t="n">
        <v>304</v>
      </c>
      <c r="F14" s="1">
        <f>G14/1.09</f>
        <v/>
      </c>
      <c r="G14" s="1">
        <f>IF(D14&lt;=100,440,IF(D14&lt;=200,4.2,IF(D14&lt;=300,4,3.9)))</f>
        <v/>
      </c>
      <c r="H14" s="1">
        <f>D14*F14</f>
        <v/>
      </c>
      <c r="I14" s="1">
        <f>D14*G14</f>
        <v/>
      </c>
      <c r="J14" s="1">
        <f>IF(D14&lt;=100,400,IF(D14&lt;=300,3.2,3))</f>
        <v/>
      </c>
      <c r="K14" s="1">
        <f>D14*J14</f>
        <v/>
      </c>
    </row>
    <row r="15">
      <c r="A15" s="1" t="n">
        <v>14</v>
      </c>
      <c r="B15" s="2" t="n">
        <v>46058</v>
      </c>
      <c r="C15" s="3" t="inlineStr">
        <is>
          <t>厉臣省钱超市（赣州唐江镇店）-370km</t>
        </is>
      </c>
      <c r="D15" s="1" t="n">
        <v>370</v>
      </c>
      <c r="E15" s="1" t="n">
        <v>370</v>
      </c>
      <c r="F15" s="1">
        <f>G15/1.09</f>
        <v/>
      </c>
      <c r="G15" s="1">
        <f>IF(D15&lt;=100,440,IF(D15&lt;=200,4.2,IF(D15&lt;=300,4,3.9)))</f>
        <v/>
      </c>
      <c r="H15" s="1">
        <f>D15*F15</f>
        <v/>
      </c>
      <c r="I15" s="1">
        <f>D15*G15</f>
        <v/>
      </c>
      <c r="J15" s="1">
        <f>IF(D15&lt;=100,400,IF(D15&lt;=300,3.2,3))</f>
        <v/>
      </c>
      <c r="K15" s="1">
        <f>D15*J15</f>
        <v/>
      </c>
      <c r="N15" s="3" t="inlineStr">
        <is>
          <t>新店4.2高栏配送</t>
        </is>
      </c>
    </row>
    <row r="16">
      <c r="A16" s="1" t="n">
        <v>15</v>
      </c>
      <c r="B16" s="2" t="n">
        <v>46059</v>
      </c>
      <c r="C16" s="3" t="inlineStr">
        <is>
          <t>共橙一站式超市（南昌明月山大道店）-7km
共橙一站式超市（南昌云飞路店）-22km
共橙一站式超市（南昌解放西路店）-12km
共橙一站式超市（南昌国威路店）-5km
共橙一站式超市（进贤吴万街店）-63km
厉臣便利（东乡状元路店）-43km
共橙一站式超市（东乡求学路店）-2km
共橙一站式超市（鹰潭余江区白塔东路店）-25km
共橙一站式超市（鹰潭五洲路店）-23km</t>
        </is>
      </c>
      <c r="D16" s="1" t="n">
        <v>202</v>
      </c>
      <c r="E16" s="1" t="n">
        <v>202</v>
      </c>
      <c r="F16" s="1">
        <f>G16/1.09</f>
        <v/>
      </c>
      <c r="G16" s="1">
        <f>IF(D16&lt;=100,440,IF(D16&lt;=200,4.2,IF(D16&lt;=300,4,3.9)))</f>
        <v/>
      </c>
      <c r="H16" s="1">
        <f>D16*F16</f>
        <v/>
      </c>
      <c r="I16" s="1">
        <f>D16*G16</f>
        <v/>
      </c>
      <c r="J16" s="1">
        <f>IF(D16&lt;=100,400,IF(D16&lt;=300,3.2,3))</f>
        <v/>
      </c>
      <c r="K16" s="1">
        <f>D16*J16</f>
        <v/>
      </c>
    </row>
    <row r="17">
      <c r="A17" s="1" t="n">
        <v>16</v>
      </c>
      <c r="B17" s="2" t="n">
        <v>46059</v>
      </c>
      <c r="C17" s="3" t="inlineStr">
        <is>
          <t>厉臣-宜春市上高店-94km
共橙一站式超市（宜丰县永康路店）-23km
共橙一站式超市（宜丰县新昌中路店）-2km
厉臣省钱超市（铜鼓县城南西路店）-65km
共橙一站式超市（铜鼓定江西路店）-3km
共橙一站式超市（万载县康乐大道店）-78km
共橙一站式超市（万载县将军西大道店）-2km
共橙一站式超市（上栗李畋北大道店）-84km
共橙一站式超市（萍乡砚田路店）-38km</t>
        </is>
      </c>
      <c r="D17" s="1" t="n">
        <v>389</v>
      </c>
      <c r="E17" s="1" t="n">
        <v>389</v>
      </c>
      <c r="F17" s="1">
        <f>G17/1.09</f>
        <v/>
      </c>
      <c r="G17" s="1">
        <f>IF(D17&lt;=100,440,IF(D17&lt;=200,4.2,IF(D17&lt;=300,4,3.9)))</f>
        <v/>
      </c>
      <c r="H17" s="1">
        <f>D17*F17</f>
        <v/>
      </c>
      <c r="I17" s="1">
        <f>D17*G17</f>
        <v/>
      </c>
      <c r="J17" s="1">
        <f>IF(D17&lt;=100,400,IF(D17&lt;=300,3.2,3))</f>
        <v/>
      </c>
      <c r="K17" s="1">
        <f>D17*J17</f>
        <v/>
      </c>
    </row>
    <row r="18">
      <c r="A18" s="1" t="n">
        <v>17</v>
      </c>
      <c r="B18" s="2" t="n">
        <v>46060</v>
      </c>
      <c r="C18" s="3" t="inlineStr">
        <is>
          <t>共橙一站式超市（南昌京东大道店)-40km
共橙一站式超市（吉水万里大道店）-229km
惠宜选超市（安福县沿河北路）-71km
共橙一站式超市（永新湘赣大道店）-71km
共橙一站式超市（井冈山步云山路店）-45km
共橙一站式超市（万安建设路店）-85km
共橙一站式超市（遂川川江南路店）-40km</t>
        </is>
      </c>
      <c r="D18" s="1" t="n">
        <v>581</v>
      </c>
      <c r="E18" s="1" t="n">
        <v>581</v>
      </c>
      <c r="F18" s="1">
        <f>G18/1.09</f>
        <v/>
      </c>
      <c r="G18" s="1">
        <f>IF(D18&lt;=100,440,IF(D18&lt;=200,4.2,IF(D18&lt;=300,4,3.9)))</f>
        <v/>
      </c>
      <c r="H18" s="1">
        <f>D18*F18</f>
        <v/>
      </c>
      <c r="I18" s="1">
        <f>D18*G18</f>
        <v/>
      </c>
      <c r="J18" s="1">
        <f>IF(D18&lt;=100,400,IF(D18&lt;=300,3.2,3))</f>
        <v/>
      </c>
      <c r="K18" s="1">
        <f>D18*J18</f>
        <v/>
      </c>
    </row>
    <row r="19">
      <c r="A19" s="1" t="n">
        <v>18</v>
      </c>
      <c r="B19" s="2" t="n">
        <v>46060</v>
      </c>
      <c r="C19" s="3" t="inlineStr">
        <is>
          <t>共橙一站式超市（赣州龙岭镇店）-382km
共橙一站式超市（南康蓝田大道店）-8km
共橙一站式超市（上犹文锦路店）-40km
共橙一站式超市（崇义章源大道店）-34km
共橙一站式超市（大余建安路店）-45km
厉臣便利店（信丰深圳大道店）-78km
共橙一站式超市（信丰沿江路店）-4km</t>
        </is>
      </c>
      <c r="D19" s="1" t="n">
        <v>591</v>
      </c>
      <c r="E19" s="1" t="n">
        <v>591</v>
      </c>
      <c r="F19" s="1">
        <f>G19/1.09</f>
        <v/>
      </c>
      <c r="G19" s="1">
        <f>IF(D19&lt;=100,440,IF(D19&lt;=200,4.2,IF(D19&lt;=300,4,3.9)))</f>
        <v/>
      </c>
      <c r="H19" s="1">
        <f>D19*F19</f>
        <v/>
      </c>
      <c r="I19" s="1">
        <f>D19*G19</f>
        <v/>
      </c>
      <c r="J19" s="1">
        <f>IF(D19&lt;=100,400,IF(D19&lt;=300,3.2,3))</f>
        <v/>
      </c>
      <c r="K19" s="1">
        <f>D19*J19</f>
        <v/>
      </c>
    </row>
    <row r="20">
      <c r="A20" s="1" t="n">
        <v>19</v>
      </c>
      <c r="B20" s="2" t="n">
        <v>46061</v>
      </c>
      <c r="C20" s="3" t="inlineStr">
        <is>
          <t>共橙一站式超市（南昌云飞路店）-27km
惠宜选超市（南昌南莲路店）-9km
惠宜选超市（南昌高新南大道店）-5km
共橙一站式超市（南昌国威路店）-11km
共橙一站式超市（南昌京东大道店)-5km
厉臣省钱超市（上高县学园路店）-152km
共橙一站式超市（宜丰县永康路店）-21km
共橙一站式超市（铜鼓定江西路店）-72km</t>
        </is>
      </c>
      <c r="D20" s="1" t="n">
        <v>302</v>
      </c>
      <c r="E20" s="1" t="n">
        <v>302</v>
      </c>
      <c r="F20" s="1">
        <f>G20/1.09</f>
        <v/>
      </c>
      <c r="G20" s="1">
        <f>IF(D20&lt;=100,440,IF(D20&lt;=200,4.2,IF(D20&lt;=300,4,3.9)))</f>
        <v/>
      </c>
      <c r="H20" s="1">
        <f>D20*F20</f>
        <v/>
      </c>
      <c r="I20" s="1">
        <f>D20*G20</f>
        <v/>
      </c>
      <c r="J20" s="1">
        <f>IF(D20&lt;=100,400,IF(D20&lt;=300,3.2,3))</f>
        <v/>
      </c>
      <c r="K20" s="1">
        <f>D20*J20</f>
        <v/>
      </c>
    </row>
    <row r="21">
      <c r="A21" s="1" t="n">
        <v>20</v>
      </c>
      <c r="B21" s="2" t="n">
        <v>46062</v>
      </c>
      <c r="C21" s="3" t="inlineStr">
        <is>
          <t>惠宜选-九江市修水店-178km
共橙一站式超市（修水县龙井路店）-4km</t>
        </is>
      </c>
      <c r="D21" s="1" t="n">
        <v>182</v>
      </c>
      <c r="E21" s="1" t="n">
        <v>182</v>
      </c>
      <c r="F21" s="1">
        <f>G21/1.09</f>
        <v/>
      </c>
      <c r="G21" s="1">
        <f>IF(D21&lt;=100,440,IF(D21&lt;=200,4.2,IF(D21&lt;=300,4,3.9)))</f>
        <v/>
      </c>
      <c r="H21" s="1">
        <f>D21*F21</f>
        <v/>
      </c>
      <c r="I21" s="1">
        <f>D21*G21</f>
        <v/>
      </c>
      <c r="J21" s="1">
        <f>IF(D21&lt;=100,400,IF(D21&lt;=300,3.2,3))</f>
        <v/>
      </c>
      <c r="K21" s="1">
        <f>D21*J21</f>
        <v/>
      </c>
    </row>
    <row r="22">
      <c r="A22" s="1" t="n">
        <v>21</v>
      </c>
      <c r="B22" s="2" t="n">
        <v>46062</v>
      </c>
      <c r="C22" s="3" t="inlineStr">
        <is>
          <t>共橙一站式超市（奉新县迎宾大道店）-46km
共橙一站式超市（武宁月山路店）-116km</t>
        </is>
      </c>
      <c r="D22" s="1" t="n">
        <v>162</v>
      </c>
      <c r="E22" s="1" t="n">
        <v>162</v>
      </c>
      <c r="F22" s="1">
        <f>G22/1.09</f>
        <v/>
      </c>
      <c r="G22" s="1">
        <f>IF(D22&lt;=100,440,IF(D22&lt;=200,4.2,IF(D22&lt;=300,4,3.9)))</f>
        <v/>
      </c>
      <c r="H22" s="1">
        <f>D22*F22</f>
        <v/>
      </c>
      <c r="I22" s="1">
        <f>D22*G22</f>
        <v/>
      </c>
      <c r="J22" s="1">
        <f>IF(D22&lt;=100,400,IF(D22&lt;=300,3.2,3))</f>
        <v/>
      </c>
      <c r="K22" s="1">
        <f>D22*J22</f>
        <v/>
      </c>
    </row>
    <row r="23">
      <c r="A23" s="1" t="n">
        <v>22</v>
      </c>
      <c r="B23" s="2" t="n">
        <v>46062</v>
      </c>
      <c r="C23" s="3" t="inlineStr">
        <is>
          <t>共橙一站式超市（南昌锦江路店）-29km
惠宜选超市（九江浔南大道店）-136km
共橙一站式超市（九江浔阳东路店）-3km
共橙一站式超市（湖口渊明路店）-30km
厉臣便利（彭泽县龙兴路店）-34km</t>
        </is>
      </c>
      <c r="D23" s="1" t="n">
        <v>232</v>
      </c>
      <c r="E23" s="1" t="n">
        <v>232</v>
      </c>
      <c r="F23" s="1">
        <f>G23/1.09</f>
        <v/>
      </c>
      <c r="G23" s="1">
        <f>IF(D23&lt;=100,440,IF(D23&lt;=200,4.2,IF(D23&lt;=300,4,3.9)))</f>
        <v/>
      </c>
      <c r="H23" s="1">
        <f>D23*F23</f>
        <v/>
      </c>
      <c r="I23" s="1">
        <f>D23*G23</f>
        <v/>
      </c>
      <c r="J23" s="1">
        <f>IF(D23&lt;=100,400,IF(D23&lt;=300,3.2,3))</f>
        <v/>
      </c>
      <c r="K23" s="1">
        <f>D23*J23</f>
        <v/>
      </c>
    </row>
    <row r="24">
      <c r="A24" s="1" t="n">
        <v>23</v>
      </c>
      <c r="B24" s="2" t="n">
        <v>46062</v>
      </c>
      <c r="C24" s="3" t="inlineStr">
        <is>
          <t>共橙一站式超市（南昌解放西路店）-32km
惠宜选-九江市柴桑店-129km
共橙一站式超市（九江八里湖大道店）-8km
共橙一站式超市（九江花溪路店）-5km
共橙一站式超市（九江泰山路店）-8km</t>
        </is>
      </c>
      <c r="D24" s="1" t="n">
        <v>182</v>
      </c>
      <c r="E24" s="1" t="n">
        <v>182</v>
      </c>
      <c r="F24" s="1">
        <f>G24/1.09</f>
        <v/>
      </c>
      <c r="G24" s="1">
        <f>IF(D24&lt;=100,440,IF(D24&lt;=200,4.2,IF(D24&lt;=300,4,3.9)))</f>
        <v/>
      </c>
      <c r="H24" s="1">
        <f>D24*F24</f>
        <v/>
      </c>
      <c r="I24" s="1">
        <f>D24*G24</f>
        <v/>
      </c>
      <c r="J24" s="1">
        <f>IF(D24&lt;=100,400,IF(D24&lt;=300,3.2,3))</f>
        <v/>
      </c>
      <c r="K24" s="1">
        <f>D24*J24</f>
        <v/>
      </c>
    </row>
    <row r="25">
      <c r="A25" s="1" t="n">
        <v>24</v>
      </c>
      <c r="B25" s="2" t="n">
        <v>46063</v>
      </c>
      <c r="C25" s="3" t="inlineStr">
        <is>
          <t>厉臣省钱超市（于都金山大道店）-362km
共橙一站式超市（赣江东江源大道店）-68km
共橙一站式超市（赣州迎宾大道店）-5km</t>
        </is>
      </c>
      <c r="D25" s="1" t="n">
        <v>435</v>
      </c>
      <c r="E25" s="1" t="n">
        <v>435</v>
      </c>
      <c r="F25" s="1">
        <f>G25/1.09</f>
        <v/>
      </c>
      <c r="G25" s="1">
        <f>IF(D25&lt;=100,440,IF(D25&lt;=200,4.2,IF(D25&lt;=300,4,3.9)))</f>
        <v/>
      </c>
      <c r="H25" s="1">
        <f>D25*F25</f>
        <v/>
      </c>
      <c r="I25" s="1">
        <f>D25*G25</f>
        <v/>
      </c>
      <c r="J25" s="1">
        <f>IF(D25&lt;=100,400,IF(D25&lt;=300,3.2,3))</f>
        <v/>
      </c>
      <c r="K25" s="1">
        <f>D25*J25</f>
        <v/>
      </c>
    </row>
    <row r="26">
      <c r="A26" s="1" t="n">
        <v>25</v>
      </c>
      <c r="B26" s="2" t="n">
        <v>46063</v>
      </c>
      <c r="C26" s="3" t="inlineStr">
        <is>
          <t>共橙一站式超市（余干县世纪大道店）-137km
共橙一站式超市（乐平福泰路店）-61km
共橙一站式超市（景德镇翠云路店）-49km</t>
        </is>
      </c>
      <c r="D26" s="1" t="n">
        <v>247</v>
      </c>
      <c r="E26" s="1" t="n">
        <v>247</v>
      </c>
      <c r="F26" s="1">
        <f>G26/1.09</f>
        <v/>
      </c>
      <c r="G26" s="1">
        <f>IF(D26&lt;=100,440,IF(D26&lt;=200,4.2,IF(D26&lt;=300,4,3.9)))</f>
        <v/>
      </c>
      <c r="H26" s="1">
        <f>D26*F26</f>
        <v/>
      </c>
      <c r="I26" s="1">
        <f>D26*G26</f>
        <v/>
      </c>
      <c r="J26" s="1">
        <f>IF(D26&lt;=100,400,IF(D26&lt;=300,3.2,3))</f>
        <v/>
      </c>
      <c r="K26" s="1">
        <f>D26*J26</f>
        <v/>
      </c>
    </row>
    <row r="27">
      <c r="A27" s="1" t="n">
        <v>26</v>
      </c>
      <c r="B27" s="2" t="n">
        <v>46063</v>
      </c>
      <c r="C27" s="3" t="inlineStr">
        <is>
          <t>惠宜选超市（瑞金金二路店）-366km
共橙一站式超市（定南龙亭路店）-217km</t>
        </is>
      </c>
      <c r="D27" s="1" t="n">
        <v>583</v>
      </c>
      <c r="E27" s="1" t="n">
        <v>583</v>
      </c>
      <c r="F27" s="1">
        <f>G27/1.09</f>
        <v/>
      </c>
      <c r="G27" s="1">
        <f>IF(D27&lt;=100,440,IF(D27&lt;=200,4.2,IF(D27&lt;=300,4,3.9)))</f>
        <v/>
      </c>
      <c r="H27" s="1">
        <f>D27*F27</f>
        <v/>
      </c>
      <c r="I27" s="1">
        <f>D27*G27</f>
        <v/>
      </c>
      <c r="J27" s="1">
        <f>IF(D27&lt;=100,400,IF(D27&lt;=300,3.2,3))</f>
        <v/>
      </c>
      <c r="K27" s="1">
        <f>D27*J27</f>
        <v/>
      </c>
    </row>
    <row r="28">
      <c r="A28" s="1" t="n">
        <v>27</v>
      </c>
      <c r="B28" s="2" t="n">
        <v>46063</v>
      </c>
      <c r="C28" s="3" t="inlineStr">
        <is>
          <t>共橙一站式超市（南昌东祥路店）-23km
共橙一站式超市（金溪县秀谷西大道店）-148km
惠宜选-上饶广丰店-195km</t>
        </is>
      </c>
      <c r="D28" s="1" t="n">
        <v>366</v>
      </c>
      <c r="E28" s="1" t="n">
        <v>366</v>
      </c>
      <c r="F28" s="1">
        <f>G28/1.09</f>
        <v/>
      </c>
      <c r="G28" s="1">
        <f>IF(D28&lt;=100,440,IF(D28&lt;=200,4.2,IF(D28&lt;=300,4,3.9)))</f>
        <v/>
      </c>
      <c r="H28" s="1">
        <f>D28*F28</f>
        <v/>
      </c>
      <c r="I28" s="1">
        <f>D28*G28</f>
        <v/>
      </c>
      <c r="J28" s="1">
        <f>IF(D28&lt;=100,400,IF(D28&lt;=300,3.2,3))</f>
        <v/>
      </c>
      <c r="K28" s="1">
        <f>D28*J28</f>
        <v/>
      </c>
    </row>
    <row r="29">
      <c r="A29" s="1" t="n">
        <v>28</v>
      </c>
      <c r="B29" s="2" t="n">
        <v>46063</v>
      </c>
      <c r="C29" s="3" t="inlineStr">
        <is>
          <t>共橙一站式超市（万安建设路店）-288km
共橙一站式超市（崇义章源大道店）-144km
共橙一站式超市（大余建安路店）-45km</t>
        </is>
      </c>
      <c r="D29" s="1" t="n">
        <v>477</v>
      </c>
      <c r="E29" s="1" t="n">
        <v>477</v>
      </c>
      <c r="F29" s="1">
        <f>G29/1.09</f>
        <v/>
      </c>
      <c r="G29" s="1">
        <f>IF(D29&lt;=100,440,IF(D29&lt;=200,4.2,IF(D29&lt;=300,4,3.9)))</f>
        <v/>
      </c>
      <c r="H29" s="1">
        <f>D29*F29</f>
        <v/>
      </c>
      <c r="I29" s="1">
        <f>D29*G29</f>
        <v/>
      </c>
      <c r="J29" s="1">
        <f>IF(D29&lt;=100,400,IF(D29&lt;=300,3.2,3))</f>
        <v/>
      </c>
      <c r="K29" s="1">
        <f>D29*J29</f>
        <v/>
      </c>
    </row>
    <row r="30">
      <c r="A30" s="1" t="n">
        <v>29</v>
      </c>
      <c r="B30" s="2" t="n">
        <v>46063</v>
      </c>
      <c r="C30" s="3" t="inlineStr">
        <is>
          <t>共橙一站式超市（新干县金川大道店）-119km
共橙一站式超市（永丰欧阳修大道店）-61km
共橙一站式超市（兴国县将军大道店）-152km</t>
        </is>
      </c>
      <c r="D30" s="1" t="n">
        <v>332</v>
      </c>
      <c r="E30" s="1" t="n">
        <v>332</v>
      </c>
      <c r="F30" s="1">
        <f>G30/1.09</f>
        <v/>
      </c>
      <c r="G30" s="1">
        <f>IF(D30&lt;=100,440,IF(D30&lt;=200,4.2,IF(D30&lt;=300,4,3.9)))</f>
        <v/>
      </c>
      <c r="H30" s="1">
        <f>D30*F30</f>
        <v/>
      </c>
      <c r="I30" s="1">
        <f>D30*G30</f>
        <v/>
      </c>
      <c r="J30" s="1">
        <f>IF(D30&lt;=100,400,IF(D30&lt;=300,3.2,3))</f>
        <v/>
      </c>
      <c r="K30" s="1">
        <f>D30*J30</f>
        <v/>
      </c>
    </row>
    <row r="31">
      <c r="A31" s="1" t="n">
        <v>30</v>
      </c>
      <c r="B31" s="2" t="n">
        <v>46063</v>
      </c>
      <c r="C31" s="3" t="inlineStr">
        <is>
          <t>共橙一站式超市（广昌站前路店）-264km
共橙一站式超市（宁都县登峰大道店）-58km</t>
        </is>
      </c>
      <c r="D31" s="1" t="n">
        <v>322</v>
      </c>
      <c r="E31" s="1" t="n">
        <v>322</v>
      </c>
      <c r="F31" s="1">
        <f>G31/1.09</f>
        <v/>
      </c>
      <c r="G31" s="1">
        <f>IF(D31&lt;=100,440,IF(D31&lt;=200,4.2,IF(D31&lt;=300,4,3.9)))</f>
        <v/>
      </c>
      <c r="H31" s="1">
        <f>D31*F31</f>
        <v/>
      </c>
      <c r="I31" s="1">
        <f>D31*G31</f>
        <v/>
      </c>
      <c r="J31" s="1">
        <f>IF(D31&lt;=100,400,IF(D31&lt;=300,3.2,3))</f>
        <v/>
      </c>
      <c r="K31" s="1">
        <f>D31*J31</f>
        <v/>
      </c>
    </row>
    <row r="32">
      <c r="A32" s="1" t="n">
        <v>31</v>
      </c>
      <c r="B32" s="2" t="n">
        <v>46064</v>
      </c>
      <c r="C32" s="3" t="inlineStr">
        <is>
          <t>共橙一站式超市（南昌经开区庐山南大道店）-27km
共橙一站式超市（武宁月山路店）-126km
惠宜选-九江市修水店-80km
共橙一站式超市（修水县龙井路店）-4km</t>
        </is>
      </c>
      <c r="D32" s="1" t="n">
        <v>237</v>
      </c>
      <c r="E32" s="1" t="n">
        <v>237</v>
      </c>
      <c r="F32" s="1">
        <f>G32/1.09</f>
        <v/>
      </c>
      <c r="G32" s="1">
        <f>IF(D32&lt;=100,440,IF(D32&lt;=200,4.2,IF(D32&lt;=300,4,3.9)))</f>
        <v/>
      </c>
      <c r="H32" s="1">
        <f>D32*F32</f>
        <v/>
      </c>
      <c r="I32" s="1">
        <f>D32*G32</f>
        <v/>
      </c>
      <c r="J32" s="1">
        <f>IF(D32&lt;=100,400,IF(D32&lt;=300,3.2,3))</f>
        <v/>
      </c>
      <c r="K32" s="1">
        <f>D32*J32</f>
        <v/>
      </c>
    </row>
    <row r="33">
      <c r="A33" s="1" t="n">
        <v>32</v>
      </c>
      <c r="B33" s="2" t="n">
        <v>46064</v>
      </c>
      <c r="C33" s="3" t="inlineStr">
        <is>
          <t>共橙一站式超市（奉新县迎宾大道店）-45km
厉臣-宜春市上高店-86km
厉臣省钱超市（上高县学园路店）-2km</t>
        </is>
      </c>
      <c r="D33" s="1" t="n">
        <v>133</v>
      </c>
      <c r="E33" s="1" t="n">
        <v>133</v>
      </c>
      <c r="F33" s="1">
        <f>G33/1.09</f>
        <v/>
      </c>
      <c r="G33" s="1">
        <f>IF(D33&lt;=100,440,IF(D33&lt;=200,4.2,IF(D33&lt;=300,4,3.9)))</f>
        <v/>
      </c>
      <c r="H33" s="1">
        <f>D33*F33</f>
        <v/>
      </c>
      <c r="I33" s="1">
        <f>D33*G33</f>
        <v/>
      </c>
      <c r="J33" s="1">
        <f>IF(D33&lt;=100,400,IF(D33&lt;=300,3.2,3))</f>
        <v/>
      </c>
      <c r="K33" s="1">
        <f>D33*J33</f>
        <v/>
      </c>
    </row>
    <row r="34">
      <c r="A34" s="1" t="n">
        <v>33</v>
      </c>
      <c r="B34" s="2" t="n">
        <v>46064</v>
      </c>
      <c r="C34" s="3" t="inlineStr">
        <is>
          <t>共橙一站式超市（樟树药都路店）-79km
共橙一站式超市（抚州金巢大道店）-103km
共橙一站式超市（抚州学成路店）-8km</t>
        </is>
      </c>
      <c r="D34" s="1" t="n">
        <v>190</v>
      </c>
      <c r="E34" s="1" t="n">
        <v>190</v>
      </c>
      <c r="F34" s="1">
        <f>G34/1.09</f>
        <v/>
      </c>
      <c r="G34" s="1">
        <f>IF(D34&lt;=100,440,IF(D34&lt;=200,4.2,IF(D34&lt;=300,4,3.9)))</f>
        <v/>
      </c>
      <c r="H34" s="1">
        <f>D34*F34</f>
        <v/>
      </c>
      <c r="I34" s="1">
        <f>D34*G34</f>
        <v/>
      </c>
      <c r="J34" s="1">
        <f>IF(D34&lt;=100,400,IF(D34&lt;=300,3.2,3))</f>
        <v/>
      </c>
      <c r="K34" s="1">
        <f>D34*J34</f>
        <v/>
      </c>
    </row>
    <row r="35">
      <c r="A35" s="1" t="n">
        <v>34</v>
      </c>
      <c r="B35" s="2" t="n">
        <v>46064</v>
      </c>
      <c r="C35" s="3" t="inlineStr">
        <is>
          <t>共橙一站式超市（新余市青年路店）-148km
共橙一站式超市（萍乡苏州东街店）-127km</t>
        </is>
      </c>
      <c r="D35" s="1" t="n">
        <v>275</v>
      </c>
      <c r="E35" s="1" t="n">
        <v>275</v>
      </c>
      <c r="F35" s="1">
        <f>G35/1.09</f>
        <v/>
      </c>
      <c r="G35" s="1">
        <f>IF(D35&lt;=100,440,IF(D35&lt;=200,4.2,IF(D35&lt;=300,4,3.9)))</f>
        <v/>
      </c>
      <c r="H35" s="1">
        <f>D35*F35</f>
        <v/>
      </c>
      <c r="I35" s="1">
        <f>D35*G35</f>
        <v/>
      </c>
      <c r="J35" s="1">
        <f>IF(D35&lt;=100,400,IF(D35&lt;=300,3.2,3))</f>
        <v/>
      </c>
      <c r="K35" s="1">
        <f>D35*J35</f>
        <v/>
      </c>
    </row>
    <row r="36">
      <c r="A36" s="1" t="n">
        <v>35</v>
      </c>
      <c r="B36" s="2" t="n">
        <v>46064</v>
      </c>
      <c r="C36" s="3" t="inlineStr">
        <is>
          <t>共橙一站式超市(永修建昌大道店)-59km
共橙一站式超市（德安宝塔大道店）-41km
惠宜选-九江市柴桑店-44km
共橙一站式超市（湖口渊明路店）-43km</t>
        </is>
      </c>
      <c r="D36" s="1" t="n">
        <v>187</v>
      </c>
      <c r="E36" s="1" t="n">
        <v>187</v>
      </c>
      <c r="F36" s="1">
        <f>G36/1.09</f>
        <v/>
      </c>
      <c r="G36" s="1">
        <f>IF(D36&lt;=100,440,IF(D36&lt;=200,4.2,IF(D36&lt;=300,4,3.9)))</f>
        <v/>
      </c>
      <c r="H36" s="1">
        <f>D36*F36</f>
        <v/>
      </c>
      <c r="I36" s="1">
        <f>D36*G36</f>
        <v/>
      </c>
      <c r="J36" s="1">
        <f>IF(D36&lt;=100,400,IF(D36&lt;=300,3.2,3))</f>
        <v/>
      </c>
      <c r="K36" s="1">
        <f>D36*J36</f>
        <v/>
      </c>
    </row>
    <row r="37">
      <c r="A37" s="1" t="n">
        <v>36</v>
      </c>
      <c r="B37" s="2" t="n">
        <v>46064</v>
      </c>
      <c r="C37" s="3" t="inlineStr">
        <is>
          <t>共橙一站式超市（南昌宜春大街店）-20km
共橙一站式超市（进贤吴万街店）-65km
厉臣便利（东乡状元路店）-43km
共橙一站式超市（鹰潭五洲路店）-46km
共橙一站式超市（鹰潭市林荫东路店）-3km</t>
        </is>
      </c>
      <c r="D37" s="1" t="n">
        <v>177</v>
      </c>
      <c r="E37" s="1" t="n">
        <v>177</v>
      </c>
      <c r="F37" s="1">
        <f>G37/1.09</f>
        <v/>
      </c>
      <c r="G37" s="1">
        <f>IF(D37&lt;=100,440,IF(D37&lt;=200,4.2,IF(D37&lt;=300,4,3.9)))</f>
        <v/>
      </c>
      <c r="H37" s="1">
        <f>D37*F37</f>
        <v/>
      </c>
      <c r="I37" s="1">
        <f>D37*G37</f>
        <v/>
      </c>
      <c r="J37" s="1">
        <f>IF(D37&lt;=100,400,IF(D37&lt;=300,3.2,3))</f>
        <v/>
      </c>
      <c r="K37" s="1">
        <f>D37*J37</f>
        <v/>
      </c>
    </row>
    <row r="38">
      <c r="A38" s="1" t="n">
        <v>37</v>
      </c>
      <c r="B38" s="2" t="n">
        <v>46065</v>
      </c>
      <c r="C38" s="3" t="inlineStr">
        <is>
          <t>共橙一站式超市（吉安县赣江大道店）-218km
共橙一站式超市（泰和澄江大道店）-29km
共橙一站式超市（万安建设路店）-54km</t>
        </is>
      </c>
      <c r="D38" s="1" t="n">
        <v>301</v>
      </c>
      <c r="E38" s="1" t="n">
        <v>301</v>
      </c>
      <c r="F38" s="1">
        <f>G38/1.09</f>
        <v/>
      </c>
      <c r="G38" s="1">
        <f>IF(D38&lt;=100,440,IF(D38&lt;=200,4.2,IF(D38&lt;=300,4,3.9)))</f>
        <v/>
      </c>
      <c r="H38" s="1">
        <f>D38*F38</f>
        <v/>
      </c>
      <c r="I38" s="1">
        <f>D38*G38</f>
        <v/>
      </c>
      <c r="J38" s="1">
        <f>IF(D38&lt;=100,400,IF(D38&lt;=300,3.2,3))</f>
        <v/>
      </c>
      <c r="K38" s="1">
        <f>D38*J38</f>
        <v/>
      </c>
    </row>
    <row r="39">
      <c r="A39" s="1" t="n">
        <v>38</v>
      </c>
      <c r="B39" s="2" t="n">
        <v>46065</v>
      </c>
      <c r="C39" s="3" t="inlineStr">
        <is>
          <t>共橙一站式超市（宁都博生西路店）-292km
共橙一站式超市（寻乌新东大道店）-209km</t>
        </is>
      </c>
      <c r="D39" s="1" t="n">
        <v>501</v>
      </c>
      <c r="E39" s="1" t="n">
        <v>501</v>
      </c>
      <c r="F39" s="1">
        <f>G39/1.09</f>
        <v/>
      </c>
      <c r="G39" s="1">
        <f>IF(D39&lt;=100,440,IF(D39&lt;=200,4.2,IF(D39&lt;=300,4,3.9)))</f>
        <v/>
      </c>
      <c r="H39" s="1">
        <f>D39*F39</f>
        <v/>
      </c>
      <c r="I39" s="1">
        <f>D39*G39</f>
        <v/>
      </c>
      <c r="J39" s="1">
        <f>IF(D39&lt;=100,400,IF(D39&lt;=300,3.2,3))</f>
        <v/>
      </c>
      <c r="K39" s="1">
        <f>D39*J39</f>
        <v/>
      </c>
    </row>
    <row r="40">
      <c r="A40" s="1" t="n">
        <v>39</v>
      </c>
      <c r="B40" s="2" t="n">
        <v>46065</v>
      </c>
      <c r="C40" s="3" t="inlineStr">
        <is>
          <t>共橙一站式超市（会昌兴会路店）-416km
共橙一站式超市（安远腾飞路店）-118km</t>
        </is>
      </c>
      <c r="D40" s="1" t="n">
        <v>534</v>
      </c>
      <c r="E40" s="1" t="n">
        <v>534</v>
      </c>
      <c r="F40" s="1">
        <f>G40/1.09</f>
        <v/>
      </c>
      <c r="G40" s="1">
        <f>IF(D40&lt;=100,440,IF(D40&lt;=200,4.2,IF(D40&lt;=300,4,3.9)))</f>
        <v/>
      </c>
      <c r="H40" s="1">
        <f>D40*F40</f>
        <v/>
      </c>
      <c r="I40" s="1">
        <f>D40*G40</f>
        <v/>
      </c>
      <c r="J40" s="1">
        <f>IF(D40&lt;=100,400,IF(D40&lt;=300,3.2,3))</f>
        <v/>
      </c>
      <c r="K40" s="1">
        <f>D40*J40</f>
        <v/>
      </c>
    </row>
    <row r="41">
      <c r="A41" s="1" t="n">
        <v>40</v>
      </c>
      <c r="B41" s="2" t="n">
        <v>46065</v>
      </c>
      <c r="C41" s="3" t="inlineStr">
        <is>
          <t>共橙一站式超市（南昌明月山大道店）-7km
共橙一站式超市 (南昌招贤大道店)-12km
厉臣省钱超市（峡江县百花路店）-166km</t>
        </is>
      </c>
      <c r="D41" s="1" t="n">
        <v>185</v>
      </c>
      <c r="E41" s="1" t="n">
        <v>185</v>
      </c>
      <c r="F41" s="1">
        <f>G41/1.09</f>
        <v/>
      </c>
      <c r="G41" s="1">
        <f>IF(D41&lt;=100,440,IF(D41&lt;=200,4.2,IF(D41&lt;=300,4,3.9)))</f>
        <v/>
      </c>
      <c r="H41" s="1">
        <f>D41*F41</f>
        <v/>
      </c>
      <c r="I41" s="1">
        <f>D41*G41</f>
        <v/>
      </c>
      <c r="J41" s="1">
        <f>IF(D41&lt;=100,400,IF(D41&lt;=300,3.2,3))</f>
        <v/>
      </c>
      <c r="K41" s="1">
        <f>D41*J41</f>
        <v/>
      </c>
    </row>
    <row r="42">
      <c r="A42" s="1" t="n">
        <v>41</v>
      </c>
      <c r="B42" s="2" t="n">
        <v>46065</v>
      </c>
      <c r="C42" s="3" t="inlineStr">
        <is>
          <t>共橙一站式超市（资溪县滨江路店）-210km
共橙一站式超市（黎川杏林路店）-74km
共橙一站式超市（南丰南广路店）-56km</t>
        </is>
      </c>
      <c r="D42" s="1" t="n">
        <v>340</v>
      </c>
      <c r="E42" s="1" t="n">
        <v>340</v>
      </c>
      <c r="F42" s="1">
        <f>G42/1.09</f>
        <v/>
      </c>
      <c r="G42" s="1">
        <f>IF(D42&lt;=100,440,IF(D42&lt;=200,4.2,IF(D42&lt;=300,4,3.9)))</f>
        <v/>
      </c>
      <c r="H42" s="1">
        <f>D42*F42</f>
        <v/>
      </c>
      <c r="I42" s="1">
        <f>D42*G42</f>
        <v/>
      </c>
      <c r="J42" s="1">
        <f>IF(D42&lt;=100,400,IF(D42&lt;=300,3.2,3))</f>
        <v/>
      </c>
      <c r="K42" s="1">
        <f>D42*J42</f>
        <v/>
      </c>
    </row>
    <row r="43">
      <c r="A43" s="1" t="n">
        <v>42</v>
      </c>
      <c r="B43" s="2" t="n">
        <v>46065</v>
      </c>
      <c r="C43" s="3" t="inlineStr">
        <is>
          <t>惠宜选超市（弋阳县梅山路店）-206km
惠宜选-上饶广丰店-87km
共橙一站式超市（玉山三清大道店）-33km</t>
        </is>
      </c>
      <c r="D43" s="1" t="n">
        <v>326</v>
      </c>
      <c r="E43" s="1" t="n">
        <v>326</v>
      </c>
      <c r="F43" s="1">
        <f>G43/1.09</f>
        <v/>
      </c>
      <c r="G43" s="1">
        <f>IF(D43&lt;=100,440,IF(D43&lt;=200,4.2,IF(D43&lt;=300,4,3.9)))</f>
        <v/>
      </c>
      <c r="H43" s="1">
        <f>D43*F43</f>
        <v/>
      </c>
      <c r="I43" s="1">
        <f>D43*G43</f>
        <v/>
      </c>
      <c r="J43" s="1">
        <f>IF(D43&lt;=100,400,IF(D43&lt;=300,3.2,3))</f>
        <v/>
      </c>
      <c r="K43" s="1">
        <f>D43*J43</f>
        <v/>
      </c>
    </row>
    <row r="44">
      <c r="A44" s="1" t="n">
        <v>43</v>
      </c>
      <c r="B44" s="2" t="n">
        <v>46065</v>
      </c>
      <c r="C44" s="3" t="inlineStr">
        <is>
          <t>共橙一站式超市（南昌解放西路店）-32km
共橙一站式超市（余干县竹山路店）-83km
共橙一站式超市（余干县世纪大道店）-2km
共橙一站式超市（铅山狮江大道店）-128km</t>
        </is>
      </c>
      <c r="D44" s="1" t="n">
        <v>245</v>
      </c>
      <c r="E44" s="1" t="n">
        <v>245</v>
      </c>
      <c r="F44" s="1">
        <f>G44/1.09</f>
        <v/>
      </c>
      <c r="G44" s="1">
        <f>IF(D44&lt;=100,440,IF(D44&lt;=200,4.2,IF(D44&lt;=300,4,3.9)))</f>
        <v/>
      </c>
      <c r="H44" s="1">
        <f>D44*F44</f>
        <v/>
      </c>
      <c r="I44" s="1">
        <f>D44*G44</f>
        <v/>
      </c>
      <c r="J44" s="1">
        <f>IF(D44&lt;=100,400,IF(D44&lt;=300,3.2,3))</f>
        <v/>
      </c>
      <c r="K44" s="1">
        <f>D44*J44</f>
        <v/>
      </c>
    </row>
    <row r="45">
      <c r="A45" s="1" t="n">
        <v>44</v>
      </c>
      <c r="B45" s="2" t="n">
        <v>46066</v>
      </c>
      <c r="C45" s="3" t="inlineStr">
        <is>
          <t>共橙一站式超市（南昌宜春大街店）-19km
共橙一站式超市（分宜县天工南大道店）-167km
共橙一站式超市（宜春文体路店）-34km</t>
        </is>
      </c>
      <c r="D45" s="1" t="n">
        <v>220</v>
      </c>
      <c r="E45" s="1" t="n">
        <v>220</v>
      </c>
      <c r="F45" s="1">
        <f>G45/1.09</f>
        <v/>
      </c>
      <c r="G45" s="1">
        <f>IF(D45&lt;=100,440,IF(D45&lt;=200,4.2,IF(D45&lt;=300,4,3.9)))</f>
        <v/>
      </c>
      <c r="H45" s="1">
        <f>D45*F45</f>
        <v/>
      </c>
      <c r="I45" s="1">
        <f>D45*G45</f>
        <v/>
      </c>
      <c r="J45" s="1">
        <f>IF(D45&lt;=100,400,IF(D45&lt;=300,3.2,3))</f>
        <v/>
      </c>
      <c r="K45" s="1">
        <f>D45*J45</f>
        <v/>
      </c>
    </row>
    <row r="46">
      <c r="A46" s="1" t="n">
        <v>45</v>
      </c>
      <c r="B46" s="2" t="n">
        <v>46066</v>
      </c>
      <c r="C46" s="3" t="inlineStr">
        <is>
          <t>厉臣便利（东乡状元路店）-114km
共橙一站式超市（鹰潭余江区白塔东路店）-24km
共橙一站式超市（鹰潭五洲路店）-23km
共橙一站式超市（鹰潭市林荫东路店）-3km</t>
        </is>
      </c>
      <c r="D46" s="1" t="n">
        <v>164</v>
      </c>
      <c r="E46" s="1" t="n">
        <v>164</v>
      </c>
      <c r="F46" s="1">
        <f>G46/1.09</f>
        <v/>
      </c>
      <c r="G46" s="1">
        <f>IF(D46&lt;=100,440,IF(D46&lt;=200,4.2,IF(D46&lt;=300,4,3.9)))</f>
        <v/>
      </c>
      <c r="H46" s="1">
        <f>D46*F46</f>
        <v/>
      </c>
      <c r="I46" s="1">
        <f>D46*G46</f>
        <v/>
      </c>
      <c r="J46" s="1">
        <f>IF(D46&lt;=100,400,IF(D46&lt;=300,3.2,3))</f>
        <v/>
      </c>
      <c r="K46" s="1">
        <f>D46*J46</f>
        <v/>
      </c>
    </row>
    <row r="47">
      <c r="A47" s="1" t="n">
        <v>46</v>
      </c>
      <c r="B47" s="2" t="n">
        <v>46066</v>
      </c>
      <c r="C47" s="3" t="inlineStr">
        <is>
          <t>惠宜选超市（南昌南莲路店）-32km
共橙一站式超市（南昌国威路店）-11km
共橙一站式超市（进贤吴万街店）-62km
共橙一站式超市（东乡求学路店）-42km
惠宜选超市（抚州赣东大道店）-45km</t>
        </is>
      </c>
      <c r="D47" s="1" t="n">
        <v>192</v>
      </c>
      <c r="E47" s="1" t="n">
        <v>192</v>
      </c>
      <c r="F47" s="1">
        <f>G47/1.09</f>
        <v/>
      </c>
      <c r="G47" s="1">
        <f>IF(D47&lt;=100,440,IF(D47&lt;=200,4.2,IF(D47&lt;=300,4,3.9)))</f>
        <v/>
      </c>
      <c r="H47" s="1">
        <f>D47*F47</f>
        <v/>
      </c>
      <c r="I47" s="1">
        <f>D47*G47</f>
        <v/>
      </c>
      <c r="J47" s="1">
        <f>IF(D47&lt;=100,400,IF(D47&lt;=300,3.2,3))</f>
        <v/>
      </c>
      <c r="K47" s="1">
        <f>D47*J47</f>
        <v/>
      </c>
    </row>
    <row r="48">
      <c r="A48" s="1" t="n">
        <v>47</v>
      </c>
      <c r="B48" s="2" t="n">
        <v>46066</v>
      </c>
      <c r="C48" s="3" t="inlineStr">
        <is>
          <t>共橙一站式超市（九江泰山路店）-145km
惠宜选超市（九江浔南大道店）-7km
共橙一站式超市（九江浔阳东路店）-3km
共橙一站式超市（湖口渊明路店）-28km</t>
        </is>
      </c>
      <c r="D48" s="1" t="n">
        <v>183</v>
      </c>
      <c r="E48" s="1" t="n">
        <v>183</v>
      </c>
      <c r="F48" s="1">
        <f>G48/1.09</f>
        <v/>
      </c>
      <c r="G48" s="1">
        <f>IF(D48&lt;=100,440,IF(D48&lt;=200,4.2,IF(D48&lt;=300,4,3.9)))</f>
        <v/>
      </c>
      <c r="H48" s="1">
        <f>D48*F48</f>
        <v/>
      </c>
      <c r="I48" s="1">
        <f>D48*G48</f>
        <v/>
      </c>
      <c r="J48" s="1">
        <f>IF(D48&lt;=100,400,IF(D48&lt;=300,3.2,3))</f>
        <v/>
      </c>
      <c r="K48" s="1">
        <f>D48*J48</f>
        <v/>
      </c>
    </row>
    <row r="49">
      <c r="A49" s="1" t="n">
        <v>48</v>
      </c>
      <c r="B49" s="2" t="n">
        <v>46066</v>
      </c>
      <c r="C49" s="3" t="inlineStr">
        <is>
          <t>惠宜选超市（共青城育才路店）-89km
共橙一站式超市（九江庐山西路店）-51km
共橙一站式超市(瑞昌赤乌大道店)-29km
共橙一站式超市（瑞昌人民北路店）-2km</t>
        </is>
      </c>
      <c r="D49" s="1" t="n">
        <v>171</v>
      </c>
      <c r="E49" s="1" t="n">
        <v>171</v>
      </c>
      <c r="F49" s="1">
        <f>G49/1.09</f>
        <v/>
      </c>
      <c r="G49" s="1">
        <f>IF(D49&lt;=100,440,IF(D49&lt;=200,4.2,IF(D49&lt;=300,4,3.9)))</f>
        <v/>
      </c>
      <c r="H49" s="1">
        <f>D49*F49</f>
        <v/>
      </c>
      <c r="I49" s="1">
        <f>D49*G49</f>
        <v/>
      </c>
      <c r="J49" s="1">
        <f>IF(D49&lt;=100,400,IF(D49&lt;=300,3.2,3))</f>
        <v/>
      </c>
      <c r="K49" s="1">
        <f>D49*J49</f>
        <v/>
      </c>
    </row>
    <row r="50">
      <c r="A50" s="1" t="n">
        <v>49</v>
      </c>
      <c r="B50" s="2" t="n">
        <v>46067</v>
      </c>
      <c r="C50" s="3" t="inlineStr">
        <is>
          <t>厉臣省钱超市（峡江县百花路店）-158km
惠宜选超市（安福县沿河北路）-85km
共橙一站式超市（永新湘赣大道店）-71km
共橙一站式超市（井冈山步云山路店）-45km
共橙一站式超市（万安建设路店）-85km
共橙一站式超市（遂川川江南路店）-40km</t>
        </is>
      </c>
      <c r="D50" s="1" t="n">
        <v>484</v>
      </c>
      <c r="E50" s="1" t="n">
        <v>484</v>
      </c>
      <c r="F50" s="1">
        <f>G50/1.09</f>
        <v/>
      </c>
      <c r="G50" s="1">
        <f>IF(D50&lt;=100,440,IF(D50&lt;=200,4.2,IF(D50&lt;=300,4,3.9)))</f>
        <v/>
      </c>
      <c r="H50" s="1">
        <f>D50*F50</f>
        <v/>
      </c>
      <c r="I50" s="1">
        <f>D50*G50</f>
        <v/>
      </c>
      <c r="J50" s="1">
        <f>IF(D50&lt;=100,400,IF(D50&lt;=300,3.2,3))</f>
        <v/>
      </c>
      <c r="K50" s="1">
        <f>D50*J50</f>
        <v/>
      </c>
    </row>
    <row r="51">
      <c r="A51" s="1" t="n">
        <v>50</v>
      </c>
      <c r="B51" s="2" t="n">
        <v>46067</v>
      </c>
      <c r="C51" s="3" t="inlineStr">
        <is>
          <t>共橙一站式超市（赣县梅林大街店）-382km
共橙一站式超市（赣江东江源大道店）-18km
共橙一站式超市（赣州迎宾大道店）-5km
共橙一站式超市（赣州龙岭镇店）-19km
厉臣便利店（信丰深圳大道店）-46km
共橙一站式超市（龙南嘉吉路店）-71km
共橙一站式超市（全南滨江路店）-38km</t>
        </is>
      </c>
      <c r="D51" s="1" t="n">
        <v>579</v>
      </c>
      <c r="E51" s="1" t="n">
        <v>579</v>
      </c>
      <c r="F51" s="1">
        <f>G51/1.09</f>
        <v/>
      </c>
      <c r="G51" s="1">
        <f>IF(D51&lt;=100,440,IF(D51&lt;=200,4.2,IF(D51&lt;=300,4,3.9)))</f>
        <v/>
      </c>
      <c r="H51" s="1">
        <f>D51*F51</f>
        <v/>
      </c>
      <c r="I51" s="1">
        <f>D51*G51</f>
        <v/>
      </c>
      <c r="J51" s="1">
        <f>IF(D51&lt;=100,400,IF(D51&lt;=300,3.2,3))</f>
        <v/>
      </c>
      <c r="K51" s="1">
        <f>D51*J51</f>
        <v/>
      </c>
    </row>
    <row r="52">
      <c r="A52" s="1" t="n">
        <v>51</v>
      </c>
      <c r="B52" s="2" t="n">
        <v>46067</v>
      </c>
      <c r="C52" s="3" t="inlineStr">
        <is>
          <t>共橙一站式超市（新干县金川大道店）-119km
共橙一站式超市（永丰欧阳修大道店）-61km
共橙一站式超市（吉水万里大道店）-39km
共橙一站式超市（吉安县赣江大道店）-33km
共橙一站式超市（泰和澄江大道店）-29km</t>
        </is>
      </c>
      <c r="D52" s="1" t="n">
        <v>281</v>
      </c>
      <c r="E52" s="1" t="n">
        <v>281</v>
      </c>
      <c r="F52" s="1">
        <f>G52/1.09</f>
        <v/>
      </c>
      <c r="G52" s="1">
        <f>IF(D52&lt;=100,440,IF(D52&lt;=200,4.2,IF(D52&lt;=300,4,3.9)))</f>
        <v/>
      </c>
      <c r="H52" s="1">
        <f>D52*F52</f>
        <v/>
      </c>
      <c r="I52" s="1">
        <f>D52*G52</f>
        <v/>
      </c>
      <c r="J52" s="1">
        <f>IF(D52&lt;=100,400,IF(D52&lt;=300,3.2,3))</f>
        <v/>
      </c>
      <c r="K52" s="1">
        <f>D52*J52</f>
        <v/>
      </c>
    </row>
    <row r="53">
      <c r="A53" s="1" t="n">
        <v>52</v>
      </c>
      <c r="B53" s="2" t="n">
        <v>46068</v>
      </c>
      <c r="C53" s="3" t="inlineStr">
        <is>
          <t>共橙一站式超市（南昌明月山大道店）-7km
共橙一站式超市（南昌云飞路店）-19km
惠宜选超市（南昌南莲路店）-9km
共橙一站式超市（南昌京东大道店)-15km
共橙一站式超市（丰城府佑东路店）-85km
共橙一站式超市（樟树药都路店）-29km
共橙一站式超市（樟树金都路店）-1km</t>
        </is>
      </c>
      <c r="D53" s="1" t="n">
        <v>165</v>
      </c>
      <c r="E53" s="1" t="n">
        <v>165</v>
      </c>
      <c r="F53" s="1">
        <f>G53/1.09</f>
        <v/>
      </c>
      <c r="G53" s="1">
        <f>IF(D53&lt;=100,440,IF(D53&lt;=200,4.2,IF(D53&lt;=300,4,3.9)))</f>
        <v/>
      </c>
      <c r="H53" s="1">
        <f>D53*F53</f>
        <v/>
      </c>
      <c r="I53" s="1">
        <f>D53*G53</f>
        <v/>
      </c>
      <c r="J53" s="1">
        <f>IF(D53&lt;=100,400,IF(D53&lt;=300,3.2,3))</f>
        <v/>
      </c>
      <c r="K53" s="1">
        <f>D53*J53</f>
        <v/>
      </c>
    </row>
    <row r="54">
      <c r="A54" s="1" t="n">
        <v>53</v>
      </c>
      <c r="B54" s="2" t="n">
        <v>46073</v>
      </c>
      <c r="C54" s="3" t="inlineStr">
        <is>
          <t>共橙一站式超市(南昌招贤大道店)-16km
共橙一站式超市（南昌经开区庐山南大道店）-14km
共橙一站式超市（共青城南湖大道店）-70km
共橙一站式超市（九江庐山西路店）-51km
共橙一站式超市(瑞昌赤乌大道店)-36km
共橙一站式超市（瑞昌人民北路店）-2km</t>
        </is>
      </c>
      <c r="D54" s="1" t="n">
        <v>189</v>
      </c>
      <c r="E54" s="1" t="n">
        <v>189</v>
      </c>
      <c r="F54" s="1">
        <f>G54/1.09</f>
        <v/>
      </c>
      <c r="G54" s="1">
        <f>IF(D54&lt;=100,440,IF(D54&lt;=200,4.2,IF(D54&lt;=300,4,3.9)))</f>
        <v/>
      </c>
      <c r="H54" s="1">
        <f>D54*F54</f>
        <v/>
      </c>
      <c r="I54" s="1">
        <f>D54*G54</f>
        <v/>
      </c>
      <c r="J54" s="1">
        <f>IF(D54&lt;=100,400,IF(D54&lt;=300,3.2,3))</f>
        <v/>
      </c>
      <c r="K54" s="1">
        <f>D54*J54</f>
        <v/>
      </c>
    </row>
    <row r="55">
      <c r="A55" s="1" t="n">
        <v>54</v>
      </c>
      <c r="B55" s="2" t="n">
        <v>46073</v>
      </c>
      <c r="C55" s="3" t="inlineStr">
        <is>
          <t>共橙一站式超市（南昌明月山大道店）-7km
共橙一站式超市（奉新县迎宾大道店）-50km
共橙一站式超市（靖安清华大道店）-20km
共橙一站式超市（武宁月山路店）-97km
惠宜选-九江市修水店-80km
共橙一站式超市（修水县龙井路店）-4km</t>
        </is>
      </c>
      <c r="D55" s="1" t="n">
        <v>258</v>
      </c>
      <c r="E55" s="1" t="n">
        <v>258</v>
      </c>
      <c r="F55" s="1">
        <f>G55/1.09</f>
        <v/>
      </c>
      <c r="G55" s="1">
        <f>IF(D55&lt;=100,440,IF(D55&lt;=200,4.2,IF(D55&lt;=300,4,3.9)))</f>
        <v/>
      </c>
      <c r="H55" s="1">
        <f>D55*F55</f>
        <v/>
      </c>
      <c r="I55" s="1">
        <f>D55*G55</f>
        <v/>
      </c>
      <c r="J55" s="1">
        <f>IF(D55&lt;=100,400,IF(D55&lt;=300,3.2,3))</f>
        <v/>
      </c>
      <c r="K55" s="1">
        <f>D55*J55</f>
        <v/>
      </c>
    </row>
    <row r="56">
      <c r="A56" s="1" t="n">
        <v>55</v>
      </c>
      <c r="B56" s="2" t="n">
        <v>46073</v>
      </c>
      <c r="C56" s="3" t="inlineStr">
        <is>
          <t>共橙一站式超市（抚州金巢大道店）-117km
共橙一站式超市（抚州迎宾大道店）-3km
共橙一站式超市（抚州学成路店）-5km
共橙一站式超市（抚州玉茗路店）-2km
共橙一站式超市（崇仁站前路店）-34km
共橙一站式超市（宜黄县凤凰路店）-41km
共橙一站式超市（抚州乐安大道店）-58km</t>
        </is>
      </c>
      <c r="D56" s="1" t="n">
        <v>260</v>
      </c>
      <c r="E56" s="1" t="n">
        <v>260</v>
      </c>
      <c r="F56" s="1">
        <f>G56/1.09</f>
        <v/>
      </c>
      <c r="G56" s="1">
        <f>IF(D56&lt;=100,440,IF(D56&lt;=200,4.2,IF(D56&lt;=300,4,3.9)))</f>
        <v/>
      </c>
      <c r="H56" s="1">
        <f>D56*F56</f>
        <v/>
      </c>
      <c r="I56" s="1">
        <f>D56*G56</f>
        <v/>
      </c>
      <c r="J56" s="1">
        <f>IF(D56&lt;=100,400,IF(D56&lt;=300,3.2,3))</f>
        <v/>
      </c>
      <c r="K56" s="1">
        <f>D56*J56</f>
        <v/>
      </c>
    </row>
    <row r="57">
      <c r="A57" s="1" t="n">
        <v>56</v>
      </c>
      <c r="B57" s="2" t="n">
        <v>46074</v>
      </c>
      <c r="C57" s="3" t="inlineStr">
        <is>
          <t>共橙一站式超市（兴国县兴国大道店）-322km
共橙一站式超市（于都杨公路店）-87km
厉臣省钱超市（于都金山大道店）-11km
共橙一站式超市（赣县梅林大街店）-51km
共橙一站式超市（赣江东江源大道店）-19km
共橙一站式超市（赣州迎宾大道店）-5km
共橙一站式超市（赣州龙岭镇店）-19km
共橙一站式超市（南康蓝田大道店）-8km</t>
        </is>
      </c>
      <c r="D57" s="1" t="n">
        <v>522</v>
      </c>
      <c r="E57" s="1" t="n">
        <v>522</v>
      </c>
      <c r="F57" s="1">
        <f>G57/1.09</f>
        <v/>
      </c>
      <c r="G57" s="1">
        <f>IF(D57&lt;=100,440,IF(D57&lt;=200,4.2,IF(D57&lt;=300,4,3.9)))</f>
        <v/>
      </c>
      <c r="H57" s="1">
        <f>D57*F57</f>
        <v/>
      </c>
      <c r="I57" s="1">
        <f>D57*G57</f>
        <v/>
      </c>
      <c r="J57" s="1">
        <f>IF(D57&lt;=100,400,IF(D57&lt;=300,3.2,3))</f>
        <v/>
      </c>
      <c r="K57" s="1">
        <f>D57*J57</f>
        <v/>
      </c>
    </row>
    <row r="58">
      <c r="A58" s="1" t="n">
        <v>57</v>
      </c>
      <c r="B58" s="2" t="n">
        <v>46074</v>
      </c>
      <c r="C58" s="3" t="inlineStr">
        <is>
          <t>共橙一站式超市(南昌招贤大道店)-16km
共橙一站式超市（新干县金川大道店）-129km
厉臣省钱超市（峡江县百花路店）-23km
共橙一站式超市（吉水万里大道店）-52km
惠宜选超市（安福县沿河北路）-71km
共橙一站式超市（永新湘赣大道店）-71km
共橙一站式超市（井冈山步云山路店）-45km</t>
        </is>
      </c>
      <c r="D58" s="1" t="n">
        <v>407</v>
      </c>
      <c r="E58" s="1" t="n">
        <v>407</v>
      </c>
      <c r="F58" s="1">
        <f>G58/1.09</f>
        <v/>
      </c>
      <c r="G58" s="1">
        <f>IF(D58&lt;=100,440,IF(D58&lt;=200,4.2,IF(D58&lt;=300,4,3.9)))</f>
        <v/>
      </c>
      <c r="H58" s="1">
        <f>D58*F58</f>
        <v/>
      </c>
      <c r="I58" s="1">
        <f>D58*G58</f>
        <v/>
      </c>
      <c r="J58" s="1">
        <f>IF(D58&lt;=100,400,IF(D58&lt;=300,3.2,3))</f>
        <v/>
      </c>
      <c r="K58" s="1">
        <f>D58*J58</f>
        <v/>
      </c>
    </row>
    <row r="59">
      <c r="A59" s="1" t="n">
        <v>58</v>
      </c>
      <c r="B59" s="2" t="n">
        <v>46074</v>
      </c>
      <c r="C59" s="3" t="inlineStr">
        <is>
          <t>共橙一站式超市（横峰兴安大道店）-216km
共橙一站式超市（德兴滨河大道店）-79km
惠宜选-江西上饶市婺源店-61km</t>
        </is>
      </c>
      <c r="D59" s="1" t="n">
        <v>356</v>
      </c>
      <c r="E59" s="1" t="n">
        <v>356</v>
      </c>
      <c r="F59" s="1">
        <f>G59/1.09</f>
        <v/>
      </c>
      <c r="G59" s="1">
        <f>IF(D59&lt;=100,440,IF(D59&lt;=200,4.2,IF(D59&lt;=300,4,3.9)))</f>
        <v/>
      </c>
      <c r="H59" s="1">
        <f>D59*F59</f>
        <v/>
      </c>
      <c r="I59" s="1">
        <f>D59*G59</f>
        <v/>
      </c>
      <c r="J59" s="1">
        <f>IF(D59&lt;=100,400,IF(D59&lt;=300,3.2,3))</f>
        <v/>
      </c>
      <c r="K59" s="1">
        <f>D59*J59</f>
        <v/>
      </c>
    </row>
    <row r="60">
      <c r="A60" s="1" t="n">
        <v>59</v>
      </c>
      <c r="B60" s="2" t="n">
        <v>46075</v>
      </c>
      <c r="C60" s="3" t="inlineStr">
        <is>
          <t>共橙一站式超市（南昌明月山大道店）-7km
共橙一站式超市（南昌云飞路店）-19km
共橙一站式超市（南昌小洲路店）-5km
惠宜选超市（南昌南莲路店）-14km
惠宜选超市（南昌高新南大道店）-5km
惠宜选超市（南昌洪腾大道店）-6km
共橙一站式超市（南昌国威路店）-10km
共橙一站式超市（南昌京东大道店)-4km
惠宜选超市（向塘镇思强北路店）-37km
共橙一站式超市（丰城紫云南大道店）-40km</t>
        </is>
      </c>
      <c r="D60" s="1" t="n">
        <v>147</v>
      </c>
      <c r="E60" s="1" t="n">
        <v>147</v>
      </c>
      <c r="F60" s="1">
        <f>G60/1.09</f>
        <v/>
      </c>
      <c r="G60" s="1">
        <f>IF(D60&lt;=100,440,IF(D60&lt;=200,4.2,IF(D60&lt;=300,4,3.9)))</f>
        <v/>
      </c>
      <c r="H60" s="1">
        <f>D60*F60</f>
        <v/>
      </c>
      <c r="I60" s="1">
        <f>D60*G60</f>
        <v/>
      </c>
      <c r="J60" s="1">
        <f>IF(D60&lt;=100,400,IF(D60&lt;=300,3.2,3))</f>
        <v/>
      </c>
      <c r="K60" s="1">
        <f>D60*J60</f>
        <v/>
      </c>
    </row>
    <row r="61">
      <c r="A61" s="1" t="n">
        <v>60</v>
      </c>
      <c r="B61" s="2" t="n">
        <v>46076</v>
      </c>
      <c r="C61" s="3" t="inlineStr">
        <is>
          <t>共橙一站式超市(南昌招贤大道店)-16km
共橙一站式超市（南昌经开区庐山南大道店）-14km
共橙一站式超市（南昌锦江路店）-6km
共橙一站式超市(安义学府大道店)-59km
共橙一站式超市（靖安清华大道店）-25km
共橙一站式超市（武宁月山路店）-97km
惠宜选-九江市修水店-80km
共橙一站式超市（修水县龙井路店）-4km</t>
        </is>
      </c>
      <c r="D61" s="1" t="n">
        <v>301</v>
      </c>
      <c r="E61" s="1" t="n">
        <v>301</v>
      </c>
      <c r="F61" s="1">
        <f>G61/1.09</f>
        <v/>
      </c>
      <c r="G61" s="1">
        <f>IF(D61&lt;=100,440,IF(D61&lt;=200,4.2,IF(D61&lt;=300,4,3.9)))</f>
        <v/>
      </c>
      <c r="H61" s="1">
        <f>D61*F61</f>
        <v/>
      </c>
      <c r="I61" s="1">
        <f>D61*G61</f>
        <v/>
      </c>
      <c r="J61" s="1">
        <f>IF(D61&lt;=100,400,IF(D61&lt;=300,3.2,3))</f>
        <v/>
      </c>
      <c r="K61" s="1">
        <f>D61*J61</f>
        <v/>
      </c>
    </row>
    <row r="62">
      <c r="A62" s="1" t="n">
        <v>61</v>
      </c>
      <c r="B62" s="2" t="n">
        <v>46077</v>
      </c>
      <c r="C62" s="3" t="inlineStr">
        <is>
          <t>惠宜选超市（安福县沿河北路）-208km
共橙一站式超市（井冈山步云山路店）-110km
共橙一站式超市（万安建设路店）-85km
共橙一站式超市（遂川川江南路店）-40km
共橙一站式超市（赣县梅林大街店）-88km
共橙一站式超市（赣江东江源大道店）-18km
共橙一站式超市（赣州迎宾大道店）-5km
共橙一站式超市（赣州龙岭镇店）-19km
共橙一站式超市（南康蓝田大道店）-8km</t>
        </is>
      </c>
      <c r="D62" s="1" t="n">
        <v>581</v>
      </c>
      <c r="E62" s="1" t="n">
        <v>581</v>
      </c>
      <c r="F62" s="1">
        <f>G62/1.09</f>
        <v/>
      </c>
      <c r="G62" s="1">
        <f>IF(D62&lt;=100,440,IF(D62&lt;=200,4.2,IF(D62&lt;=300,4,3.9)))</f>
        <v/>
      </c>
      <c r="H62" s="1">
        <f>D62*F62</f>
        <v/>
      </c>
      <c r="I62" s="1">
        <f>D62*G62</f>
        <v/>
      </c>
      <c r="J62" s="1">
        <f>IF(D62&lt;=100,400,IF(D62&lt;=300,3.2,3))</f>
        <v/>
      </c>
      <c r="K62" s="1">
        <f>D62*J62</f>
        <v/>
      </c>
    </row>
    <row r="63">
      <c r="A63" s="1" t="n">
        <v>62</v>
      </c>
      <c r="B63" s="2" t="n">
        <v>46077</v>
      </c>
      <c r="C63" s="3" t="inlineStr">
        <is>
          <t>共橙一站式超市(南昌招贤大道店)-16km
共橙一站式超市（南城登高路店）-178km
共橙一站式超市（南丰南广路店）-57km
共橙一站式超市（广昌站前路店）-50km
共橙一站式超市（宁都博生西路店）-58km
共橙一站式超市（宁都县登峰大道店）-2km
惠宜选超市（瑞金金二路店）-76km
共橙一站式超市（瑞金龙珠路店）-2km</t>
        </is>
      </c>
      <c r="D63" s="1" t="n">
        <v>439</v>
      </c>
      <c r="E63" s="1" t="n">
        <v>439</v>
      </c>
      <c r="F63" s="1">
        <f>G63/1.09</f>
        <v/>
      </c>
      <c r="G63" s="1">
        <f>IF(D63&lt;=100,440,IF(D63&lt;=200,4.2,IF(D63&lt;=300,4,3.9)))</f>
        <v/>
      </c>
      <c r="H63" s="1">
        <f>D63*F63</f>
        <v/>
      </c>
      <c r="I63" s="1">
        <f>D63*G63</f>
        <v/>
      </c>
      <c r="J63" s="1">
        <f>IF(D63&lt;=100,400,IF(D63&lt;=300,3.2,3))</f>
        <v/>
      </c>
      <c r="K63" s="1">
        <f>D63*J63</f>
        <v/>
      </c>
    </row>
    <row r="64">
      <c r="A64" s="1" t="n">
        <v>63</v>
      </c>
      <c r="B64" s="2" t="n">
        <v>46078</v>
      </c>
      <c r="C64" s="3" t="inlineStr">
        <is>
          <t>共橙一站式超市（奉新县迎宾大道店）-45km
共橙一站式超市（宜丰县永康路店）-81km
厉臣-宜春市上高店-27km
共橙一站式超市（万载县将军西大道店）-58km
共橙一站式超市（铜鼓定江西路店）-82km
共橙一站式超市（修水县龙井路店）-78km
惠宜选-九江市修水店-4km</t>
        </is>
      </c>
      <c r="D64" s="1" t="n">
        <v>375</v>
      </c>
      <c r="E64" s="1" t="n">
        <v>375</v>
      </c>
      <c r="F64" s="1">
        <f>G64/1.09</f>
        <v/>
      </c>
      <c r="G64" s="1">
        <f>IF(D64&lt;=100,440,IF(D64&lt;=200,4.2,IF(D64&lt;=300,4,3.9)))</f>
        <v/>
      </c>
      <c r="H64" s="1">
        <f>D64*F64</f>
        <v/>
      </c>
      <c r="I64" s="1">
        <f>D64*G64</f>
        <v/>
      </c>
      <c r="J64" s="1">
        <f>IF(D64&lt;=100,400,IF(D64&lt;=300,3.2,3))</f>
        <v/>
      </c>
      <c r="K64" s="1">
        <f>D64*J64</f>
        <v/>
      </c>
    </row>
    <row r="65">
      <c r="A65" s="1" t="n">
        <v>64</v>
      </c>
      <c r="B65" s="2" t="n">
        <v>46078</v>
      </c>
      <c r="C65" s="3" t="inlineStr">
        <is>
          <t>惠宜选超市（共青城育才路店）-89km
共橙一站式超市（九江庐山西路店）-54km
惠宜选-九江市柴桑店-2km
共橙一站式超市（九江八里湖大道店）-8km
惠宜选超市（九江浔南大道店）-8km
共橙一站式超市（九江浔阳东路店）-3km
共橙一站式超市（九江泰山路店）-6km
共橙一站式超市(瑞昌赤乌大道店)-30km
共橙一站式超市（瑞昌人民北路店）-2km</t>
        </is>
      </c>
      <c r="D65" s="1" t="n">
        <v>202</v>
      </c>
      <c r="E65" s="1" t="n">
        <v>202</v>
      </c>
      <c r="F65" s="1">
        <f>G65/1.09</f>
        <v/>
      </c>
      <c r="G65" s="1">
        <f>IF(D65&lt;=100,440,IF(D65&lt;=200,4.2,IF(D65&lt;=300,4,3.9)))</f>
        <v/>
      </c>
      <c r="H65" s="1">
        <f>D65*F65</f>
        <v/>
      </c>
      <c r="I65" s="1">
        <f>D65*G65</f>
        <v/>
      </c>
      <c r="J65" s="1">
        <f>IF(D65&lt;=100,400,IF(D65&lt;=300,3.2,3))</f>
        <v/>
      </c>
      <c r="K65" s="1">
        <f>D65*J65</f>
        <v/>
      </c>
    </row>
    <row r="66">
      <c r="A66" s="1" t="n">
        <v>65</v>
      </c>
      <c r="B66" s="2" t="n">
        <v>46079</v>
      </c>
      <c r="C66" s="3" t="inlineStr">
        <is>
          <t>共橙一站式超市（金溪县秀谷西大道店）-154km
共橙一站式超市（资溪县滨江路店）-54km
共橙一站式超市（南城登高路店）-70km
共橙一站式超市（黎川杏林路店）-57km
共橙一站式超市（南丰南广路店）-56km
共橙一站式超市（广昌站前路店）-51km
共橙一站式超市（宁都博生西路店）-58km
共橙一站式超市（宁都县登峰大道店）-2km
惠宜选超市（石城迎宾大道店）-63km</t>
        </is>
      </c>
      <c r="D66" s="1" t="n">
        <v>565</v>
      </c>
      <c r="E66" s="1" t="n">
        <v>565</v>
      </c>
      <c r="F66" s="1">
        <f>G66/1.09</f>
        <v/>
      </c>
      <c r="G66" s="1">
        <f>IF(D66&lt;=100,440,IF(D66&lt;=200,4.2,IF(D66&lt;=300,4,3.9)))</f>
        <v/>
      </c>
      <c r="H66" s="1">
        <f>D66*F66</f>
        <v/>
      </c>
      <c r="I66" s="1">
        <f>D66*G66</f>
        <v/>
      </c>
      <c r="J66" s="1">
        <f>IF(D66&lt;=100,400,IF(D66&lt;=300,3.2,3))</f>
        <v/>
      </c>
      <c r="K66" s="1">
        <f>D66*J66</f>
        <v/>
      </c>
    </row>
    <row r="67">
      <c r="A67" s="1" t="n">
        <v>66</v>
      </c>
      <c r="B67" s="2" t="n">
        <v>46079</v>
      </c>
      <c r="C67" s="3" t="inlineStr">
        <is>
          <t>厉臣省钱超市（峡江县百花路店）-144km
共橙一站式超市（吉安青原大道店）-73km
共橙一站式超市（吉安县赣江大道店）-14km
厉臣省钱超市（泰和钦顺路店）-29km
共橙一站式超市（泰和澄江大道店）-1km
共橙一站式超市（万安建设路店）-54km
共橙一站式超市（遂川川江南路店）-40km
共橙一站式超市（上犹文锦路店）-93km
共橙一站式超市（崇义章源大道店）-34km</t>
        </is>
      </c>
      <c r="D67" s="1" t="n">
        <v>482</v>
      </c>
      <c r="E67" s="1" t="n">
        <v>482</v>
      </c>
      <c r="F67" s="1">
        <f>G67/1.09</f>
        <v/>
      </c>
      <c r="G67" s="1">
        <f>IF(D67&lt;=100,440,IF(D67&lt;=200,4.2,IF(D67&lt;=300,4,3.9)))</f>
        <v/>
      </c>
      <c r="H67" s="1">
        <f>D67*F67</f>
        <v/>
      </c>
      <c r="I67" s="1">
        <f>D67*G67</f>
        <v/>
      </c>
      <c r="J67" s="1">
        <f>IF(D67&lt;=100,400,IF(D67&lt;=300,3.2,3))</f>
        <v/>
      </c>
      <c r="K67" s="1">
        <f>D67*J67</f>
        <v/>
      </c>
    </row>
    <row r="68">
      <c r="A68" s="1" t="n">
        <v>67</v>
      </c>
      <c r="B68" s="2" t="n">
        <v>46080</v>
      </c>
      <c r="C68" s="3" t="inlineStr">
        <is>
          <t>共橙一站式超市（南昌京东大道店)-40km
共橙一站式超市(永修建昌大道店)-61km
厉臣-九江市都昌东风大道店-98km
共橙一站式超市（庐山玉帘路店）-50km
惠宜选超市（九江浔南大道店）-35km
共橙一站式超市（九江浔阳东路店）-3km
共橙一站式超市（湖口渊明路店）-30km
厉臣便利（彭泽县龙兴路店）-34km</t>
        </is>
      </c>
      <c r="D68" s="1" t="n">
        <v>351</v>
      </c>
      <c r="E68" s="1" t="n">
        <v>351</v>
      </c>
      <c r="F68" s="1">
        <f>G68/1.09</f>
        <v/>
      </c>
      <c r="G68" s="1">
        <f>IF(D68&lt;=100,440,IF(D68&lt;=200,4.2,IF(D68&lt;=300,4,3.9)))</f>
        <v/>
      </c>
      <c r="H68" s="1">
        <f>D68*F68</f>
        <v/>
      </c>
      <c r="I68" s="1">
        <f>D68*G68</f>
        <v/>
      </c>
      <c r="J68" s="1">
        <f>IF(D68&lt;=100,400,IF(D68&lt;=300,3.2,3))</f>
        <v/>
      </c>
      <c r="K68" s="1">
        <f>D68*J68</f>
        <v/>
      </c>
    </row>
    <row r="69">
      <c r="A69" s="1" t="n">
        <v>68</v>
      </c>
      <c r="B69" s="2" t="n">
        <v>46080</v>
      </c>
      <c r="C69" s="3" t="inlineStr">
        <is>
          <t>共橙一站式超市(南昌招贤大道店)-16km
共橙一站式超市（南昌小洲路店）-25km
惠宜选超市（南昌南莲路店）-11km
惠宜选超市（南昌高新南大道店）-5km
共橙一站式超市（进贤吴万街店）-50km
厉臣便利（东乡状元路店）-43km
共橙一站式超市（鹰潭余江区白塔东路店）-24km
共橙一站式超市（鹰潭五洲路店）-23km
共橙一站式超市（贵溪雄石东路店）-23km</t>
        </is>
      </c>
      <c r="D69" s="1" t="n">
        <v>220</v>
      </c>
      <c r="E69" s="1" t="n">
        <v>220</v>
      </c>
      <c r="F69" s="1">
        <f>G69/1.09</f>
        <v/>
      </c>
      <c r="G69" s="1">
        <f>IF(D69&lt;=100,440,IF(D69&lt;=200,4.2,IF(D69&lt;=300,4,3.9)))</f>
        <v/>
      </c>
      <c r="H69" s="1">
        <f>D69*F69</f>
        <v/>
      </c>
      <c r="I69" s="1">
        <f>D69*G69</f>
        <v/>
      </c>
      <c r="J69" s="1">
        <f>IF(D69&lt;=100,400,IF(D69&lt;=300,3.2,3))</f>
        <v/>
      </c>
      <c r="K69" s="1">
        <f>D69*J69</f>
        <v/>
      </c>
    </row>
    <row r="70">
      <c r="A70" s="1" t="n">
        <v>69</v>
      </c>
      <c r="B70" s="2" t="n">
        <v>46081</v>
      </c>
      <c r="C70" s="3" t="inlineStr">
        <is>
          <t>共橙一站式超市（余干县竹山路店）-125km
共橙一站式超市（余干县世纪大道店）-2km
共橙一站式超市（万年建德大街店）-42km
共橙一站式超市（横峰兴安大道店）-72km
共橙一站式超市（铅山狮江大道店）-18km
共橙一站式超市（玉山三清大道店）-76km
共橙一站式超市（德兴滨河大道店）-95km
惠宜选-江西上饶市婺源店-61km</t>
        </is>
      </c>
      <c r="D70" s="1" t="n">
        <v>491</v>
      </c>
      <c r="E70" s="1" t="n">
        <v>491</v>
      </c>
      <c r="F70" s="1">
        <f>G70/1.09</f>
        <v/>
      </c>
      <c r="G70" s="1">
        <f>IF(D70&lt;=100,440,IF(D70&lt;=200,4.2,IF(D70&lt;=300,4,3.9)))</f>
        <v/>
      </c>
      <c r="H70" s="1">
        <f>D70*F70</f>
        <v/>
      </c>
      <c r="I70" s="1">
        <f>D70*G70</f>
        <v/>
      </c>
      <c r="J70" s="1">
        <f>IF(D70&lt;=100,400,IF(D70&lt;=300,3.2,3))</f>
        <v/>
      </c>
      <c r="K70" s="1">
        <f>D70*J70</f>
        <v/>
      </c>
    </row>
    <row r="71">
      <c r="A71" s="1" t="n">
        <v>70</v>
      </c>
      <c r="B71" s="2" t="n">
        <v>46081</v>
      </c>
      <c r="C71" s="3" t="inlineStr">
        <is>
          <t>共橙一站式超市（吉安县赣江大道店）-218km
共橙一站式超市（万安建设路店）-80km
共橙一站式超市（遂川川江南路店）-40km
共橙一站式超市（赣县梅林大街店）-88km
共橙一站式超市（赣江东江源大道店）-18km
共橙一站式超市（赣州迎宾大道店）-5km
共橙一站式超市（赣州龙岭镇店）-19km
共橙一站式超市（南康蓝田大道店）-8km
共橙一站式超市（大余建安路店）-63km</t>
        </is>
      </c>
      <c r="D71" s="1" t="n">
        <v>539</v>
      </c>
      <c r="E71" s="1" t="n">
        <v>539</v>
      </c>
      <c r="F71" s="1">
        <f>G71/1.09</f>
        <v/>
      </c>
      <c r="G71" s="1">
        <f>IF(D71&lt;=100,440,IF(D71&lt;=200,4.2,IF(D71&lt;=300,4,3.9)))</f>
        <v/>
      </c>
      <c r="H71" s="1">
        <f>D71*F71</f>
        <v/>
      </c>
      <c r="I71" s="1">
        <f>D71*G71</f>
        <v/>
      </c>
      <c r="J71" s="1">
        <f>IF(D71&lt;=100,400,IF(D71&lt;=300,3.2,3))</f>
        <v/>
      </c>
      <c r="K71" s="1">
        <f>D71*J71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2026-02-28T11:50:10Z</dcterms:created>
  <dcterms:modified xsi:type="dcterms:W3CDTF">2026-02-28T11:50:10Z</dcterms:modified>
</cp:coreProperties>
</file>